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8380" tabRatio="500"/>
  </bookViews>
  <sheets>
    <sheet name="G702" sheetId="1" r:id="rId1"/>
    <sheet name="G703" sheetId="2" r:id="rId2"/>
  </sheets>
  <definedNames>
    <definedName name="_xlnm.Print_Area" localSheetId="0">'G702'!$A$1:$H$48</definedName>
    <definedName name="_xlnm.Print_Area" localSheetId="1">'G703'!$A$1:$J$36,'G703'!$A$39:$J$62</definedName>
    <definedName name="Z_3F71F62A_D84C_452D_8D36_525BCD85F7AB_.wvu.PrintArea" localSheetId="1">'G703'!$A$1:$J$36</definedName>
    <definedName name="Z_3F71F62A_D84C_452D_8D36_525BCD85F7AB_.wvu.PrintTitles" localSheetId="1">'G703'!$1:$10</definedName>
    <definedName name="Z_74C40DAB_1E1B_4007_AE79_F07179D82744_.wvu.PrintArea" localSheetId="1">'G703'!$A$1:$J$36</definedName>
    <definedName name="Z_74C40DAB_1E1B_4007_AE79_F07179D82744_.wvu.PrintTitles" localSheetId="1">'G703'!$1:$10</definedName>
    <definedName name="Z_97571037_4E76_445A_98EC_9A5FE4082C32_.wvu.PrintArea" localSheetId="1">'G703'!$A$1:$J$36</definedName>
    <definedName name="Z_97571037_4E76_445A_98EC_9A5FE4082C32_.wvu.PrintTitles" localSheetId="1">'G703'!$1:$10</definedName>
    <definedName name="Z_BB6851ED_68DA_470F_99DD_B3BEA2AB9CAD_.wvu.PrintArea" localSheetId="0">'G702'!$A$1:$H$46</definedName>
    <definedName name="Z_BB6851ED_68DA_470F_99DD_B3BEA2AB9CAD_.wvu.PrintArea" localSheetId="1">'G703'!$A$1:$J$36</definedName>
    <definedName name="Z_BB6851ED_68DA_470F_99DD_B3BEA2AB9CAD_.wvu.PrintTitles" localSheetId="1">'G703'!$1:$10</definedName>
    <definedName name="Z_CBA0EA1B_087A_4591_BC4D_CB2CC49841C4_.wvu.PrintArea" localSheetId="1">'G703'!$A$1:$J$36</definedName>
    <definedName name="Z_CBA0EA1B_087A_4591_BC4D_CB2CC49841C4_.wvu.PrintTitles" localSheetId="1">'G703'!$1:$10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<sst xmlns="http://schemas.openxmlformats.org/spreadsheetml/2006/main" count="98" uniqueCount="71">
  <si>
    <t>APPLICATION AND CERTIFICATE FOR PAYMENT</t>
  </si>
  <si>
    <t>TO (Owner):</t>
  </si>
  <si>
    <t>PROJECT:</t>
  </si>
  <si>
    <t>APPLICATION NO:</t>
  </si>
  <si>
    <t>PERIOD FROM:</t>
  </si>
  <si>
    <t>G. C. :</t>
  </si>
  <si>
    <t>TO:</t>
  </si>
  <si>
    <t>FROM:</t>
  </si>
  <si>
    <t xml:space="preserve">BIG BEAR BUILDERS </t>
  </si>
  <si>
    <t>TERMS:</t>
  </si>
  <si>
    <t>P.O. BOX 770368</t>
  </si>
  <si>
    <t>MIAMI, FL 33177</t>
  </si>
  <si>
    <t>CONTRACTOR'S APPLICATION FOR PAYMENT</t>
  </si>
  <si>
    <t>The present status of the account for this Contract is as follows:</t>
  </si>
  <si>
    <t>CHANGE ORDER SUMMARY</t>
  </si>
  <si>
    <t>NUMBER</t>
  </si>
  <si>
    <t>ADDITIONS</t>
  </si>
  <si>
    <t>DEDUCTIONS</t>
  </si>
  <si>
    <t>1.</t>
  </si>
  <si>
    <t>ORIGINAL CONTRACT SUM:</t>
  </si>
  <si>
    <t>2.</t>
  </si>
  <si>
    <t>Net Charge by Change Orders &amp; Extras</t>
  </si>
  <si>
    <t>3.</t>
  </si>
  <si>
    <t>CONTRACT SUM TO DATE:</t>
  </si>
  <si>
    <t>4.</t>
  </si>
  <si>
    <t>TOTAL COMPLETED &amp; STORED TO DATE:</t>
  </si>
  <si>
    <t>5.</t>
  </si>
  <si>
    <t>RETAINAGE FROM CURRENT BILLING</t>
  </si>
  <si>
    <t>6.</t>
  </si>
  <si>
    <t>TOTAL EARNED LESS RETAINAGE:</t>
  </si>
  <si>
    <t>7.</t>
  </si>
  <si>
    <t>LESS PREVIOUS CERTIFICATES FOR PAYMENT:</t>
  </si>
  <si>
    <t>(Line 6 from previous application)</t>
  </si>
  <si>
    <t>8.</t>
  </si>
  <si>
    <t xml:space="preserve">CURRENT PAYMENT DUE: </t>
  </si>
  <si>
    <t>TOTALS</t>
  </si>
  <si>
    <t>9.</t>
  </si>
  <si>
    <t>BALANCE TO FINISH PLUS RETAINAGE</t>
  </si>
  <si>
    <t>(Line 3 minus Line 6)</t>
  </si>
  <si>
    <t>Net by Change Orders</t>
  </si>
  <si>
    <t>CONTINUATION SHEET</t>
  </si>
  <si>
    <t>AIA DOCUMENT G703</t>
  </si>
  <si>
    <t>BIG BEAR BUILDERS</t>
  </si>
  <si>
    <t xml:space="preserve">PROJECT: </t>
  </si>
  <si>
    <t xml:space="preserve"> </t>
  </si>
  <si>
    <t>GC:</t>
  </si>
  <si>
    <t>Application #:</t>
  </si>
  <si>
    <t>Period From:</t>
  </si>
  <si>
    <t xml:space="preserve">     Period To:</t>
  </si>
  <si>
    <t>A</t>
  </si>
  <si>
    <t>C</t>
  </si>
  <si>
    <t>D</t>
  </si>
  <si>
    <t>E</t>
  </si>
  <si>
    <t>F</t>
  </si>
  <si>
    <t>G</t>
  </si>
  <si>
    <t>H</t>
  </si>
  <si>
    <t>I</t>
  </si>
  <si>
    <t>J</t>
  </si>
  <si>
    <t>K</t>
  </si>
  <si>
    <t>ITEM NO.</t>
  </si>
  <si>
    <t>DESCRIPTION OF WORK</t>
  </si>
  <si>
    <t>SCHEDULED
VALUES</t>
  </si>
  <si>
    <t>WORK COMPLETED</t>
  </si>
  <si>
    <t>MATERIALS
PRESENTLY
STORED
(NOT IN E OR F)</t>
  </si>
  <si>
    <t>TOTAL
COMPLETED AND
STORED TO DATE
(E+F+G)</t>
  </si>
  <si>
    <t>%
(H/D)</t>
  </si>
  <si>
    <t xml:space="preserve">BALANCE
TO FINISH
(D-H) </t>
  </si>
  <si>
    <t>RETAINAGE</t>
  </si>
  <si>
    <t>PREVIOUS
APPLICATIONS
(D + E)</t>
  </si>
  <si>
    <t>THIS
PERIOD</t>
  </si>
  <si>
    <t>Change Orders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</si>
</sst>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&quot;$&quot;#,##0.00_);&quot;($&quot;#,##0.00\)"/>
    <numFmt numFmtId="177" formatCode="_ * #,##0.00_ ;_ * \-#,##0.00_ ;_ * &quot;-&quot;??_ ;_ @_ "/>
    <numFmt numFmtId="178" formatCode="_ * #,##0_ ;_ * \-#,##0_ ;_ * &quot;-&quot;_ ;_ @_ "/>
    <numFmt numFmtId="179" formatCode="[$-409]m/d/yyyy"/>
    <numFmt numFmtId="180" formatCode="m/d/yy"/>
    <numFmt numFmtId="181" formatCode="0.00_);[Red]\(0.00\)"/>
    <numFmt numFmtId="182" formatCode="_(&quot;$&quot;* #,##0.00_);_(&quot;$&quot;* \(#,##0.00\);_(&quot;$&quot;* \-??_);_(@_)"/>
    <numFmt numFmtId="183" formatCode="&quot;$&quot;#,##0.00"/>
  </numFmts>
  <fonts count="50">
    <font>
      <sz val="10"/>
      <color rgb="FF000000"/>
      <name val="Courier New"/>
      <charset val="134"/>
    </font>
    <font>
      <b/>
      <sz val="16"/>
      <name val="Bookman Old Style"/>
      <charset val="134"/>
    </font>
    <font>
      <sz val="16"/>
      <name val="Bookman Old Style"/>
      <charset val="134"/>
    </font>
    <font>
      <sz val="16"/>
      <name val="Courier New"/>
      <charset val="134"/>
    </font>
    <font>
      <sz val="12"/>
      <name val="Bookman Old Style"/>
      <charset val="134"/>
    </font>
    <font>
      <b/>
      <sz val="12"/>
      <name val="Bookman Old Style"/>
      <charset val="134"/>
    </font>
    <font>
      <sz val="10"/>
      <name val="Courier New"/>
      <charset val="134"/>
    </font>
    <font>
      <sz val="9"/>
      <name val="Courier New"/>
      <charset val="134"/>
    </font>
    <font>
      <b/>
      <sz val="10"/>
      <name val="Cambria"/>
      <charset val="134"/>
    </font>
    <font>
      <sz val="10"/>
      <name val="Cambria"/>
      <charset val="134"/>
    </font>
    <font>
      <sz val="11"/>
      <name val="Times New Roman"/>
      <charset val="134"/>
    </font>
    <font>
      <sz val="11"/>
      <name val="Courier New"/>
      <charset val="134"/>
    </font>
    <font>
      <b/>
      <sz val="11"/>
      <name val="Times New Roman"/>
      <charset val="134"/>
    </font>
    <font>
      <sz val="8"/>
      <color rgb="FF000000"/>
      <name val="Courier New"/>
      <charset val="134"/>
    </font>
    <font>
      <b/>
      <sz val="18"/>
      <name val="Arial"/>
      <charset val="134"/>
    </font>
    <font>
      <sz val="18"/>
      <name val="Arial"/>
      <charset val="134"/>
    </font>
    <font>
      <sz val="12"/>
      <name val="Courier New"/>
      <charset val="134"/>
    </font>
    <font>
      <sz val="10"/>
      <name val="Arial"/>
      <charset val="134"/>
    </font>
    <font>
      <b/>
      <sz val="24"/>
      <name val="Courier New"/>
      <charset val="134"/>
    </font>
    <font>
      <sz val="16"/>
      <name val="Arial"/>
      <charset val="134"/>
    </font>
    <font>
      <sz val="8"/>
      <name val="Arial"/>
      <charset val="134"/>
    </font>
    <font>
      <sz val="12"/>
      <name val="Arial"/>
      <charset val="134"/>
    </font>
    <font>
      <b/>
      <u/>
      <sz val="10"/>
      <name val="Courier New"/>
      <charset val="134"/>
    </font>
    <font>
      <b/>
      <sz val="10"/>
      <name val="Arial"/>
      <charset val="134"/>
    </font>
    <font>
      <b/>
      <sz val="12"/>
      <name val="Arial"/>
      <charset val="134"/>
    </font>
    <font>
      <b/>
      <sz val="10"/>
      <name val="Courier New"/>
      <charset val="134"/>
    </font>
    <font>
      <b/>
      <sz val="12"/>
      <name val="Courier New"/>
      <charset val="134"/>
    </font>
    <font>
      <sz val="26"/>
      <color rgb="FFFF0000"/>
      <name val="Calibri"/>
      <charset val="134"/>
    </font>
    <font>
      <sz val="10"/>
      <name val="Calibri"/>
      <charset val="134"/>
    </font>
    <font>
      <b/>
      <sz val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176" fontId="0" fillId="0" borderId="0"/>
    <xf numFmtId="177" fontId="3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0" fillId="0" borderId="0" applyBorder="0" applyProtection="0"/>
    <xf numFmtId="178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2" borderId="17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3" borderId="20" applyNumberFormat="0" applyAlignment="0" applyProtection="0">
      <alignment vertical="center"/>
    </xf>
    <xf numFmtId="0" fontId="40" fillId="4" borderId="21" applyNumberFormat="0" applyAlignment="0" applyProtection="0">
      <alignment vertical="center"/>
    </xf>
    <xf numFmtId="0" fontId="41" fillId="4" borderId="20" applyNumberFormat="0" applyAlignment="0" applyProtection="0">
      <alignment vertical="center"/>
    </xf>
    <xf numFmtId="0" fontId="42" fillId="5" borderId="22" applyNumberFormat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</cellStyleXfs>
  <cellXfs count="100">
    <xf numFmtId="176" fontId="0" fillId="0" borderId="0" xfId="0"/>
    <xf numFmtId="176" fontId="1" fillId="0" borderId="1" xfId="0" applyFont="1" applyBorder="1"/>
    <xf numFmtId="176" fontId="2" fillId="0" borderId="1" xfId="0" applyFont="1" applyBorder="1" applyAlignment="1">
      <alignment horizontal="left"/>
    </xf>
    <xf numFmtId="176" fontId="2" fillId="0" borderId="1" xfId="0" applyFont="1" applyBorder="1"/>
    <xf numFmtId="176" fontId="2" fillId="0" borderId="1" xfId="0" applyFont="1" applyBorder="1" applyAlignment="1">
      <alignment horizontal="center"/>
    </xf>
    <xf numFmtId="176" fontId="3" fillId="0" borderId="0" xfId="0" applyFont="1"/>
    <xf numFmtId="176" fontId="4" fillId="0" borderId="0" xfId="0" applyFont="1"/>
    <xf numFmtId="176" fontId="4" fillId="0" borderId="0" xfId="0" applyFont="1" applyAlignment="1">
      <alignment horizontal="left"/>
    </xf>
    <xf numFmtId="176" fontId="5" fillId="0" borderId="0" xfId="0" applyFont="1"/>
    <xf numFmtId="176" fontId="5" fillId="0" borderId="0" xfId="0" applyFont="1" applyAlignment="1">
      <alignment horizontal="left"/>
    </xf>
    <xf numFmtId="179" fontId="4" fillId="0" borderId="0" xfId="0" applyNumberFormat="1" applyFont="1" applyAlignment="1">
      <alignment horizontal="left"/>
    </xf>
    <xf numFmtId="176" fontId="5" fillId="0" borderId="0" xfId="0" applyFont="1" applyAlignment="1">
      <alignment horizontal="center"/>
    </xf>
    <xf numFmtId="176" fontId="4" fillId="0" borderId="0" xfId="0" applyFont="1" applyAlignment="1">
      <alignment horizontal="right"/>
    </xf>
    <xf numFmtId="49" fontId="4" fillId="0" borderId="0" xfId="0" applyNumberFormat="1" applyFont="1" applyBorder="1" applyAlignment="1">
      <alignment horizontal="center"/>
    </xf>
    <xf numFmtId="176" fontId="4" fillId="0" borderId="0" xfId="0" applyFont="1" applyBorder="1" applyAlignment="1">
      <alignment horizontal="left"/>
    </xf>
    <xf numFmtId="180" fontId="4" fillId="0" borderId="0" xfId="0" applyNumberFormat="1" applyFont="1" applyBorder="1" applyAlignment="1">
      <alignment horizontal="center"/>
    </xf>
    <xf numFmtId="180" fontId="4" fillId="0" borderId="2" xfId="0" applyNumberFormat="1" applyFont="1" applyBorder="1" applyAlignment="1">
      <alignment horizontal="center"/>
    </xf>
    <xf numFmtId="176" fontId="6" fillId="0" borderId="3" xfId="0" applyFont="1" applyBorder="1" applyAlignment="1">
      <alignment horizontal="center"/>
    </xf>
    <xf numFmtId="176" fontId="6" fillId="0" borderId="4" xfId="0" applyFont="1" applyBorder="1" applyAlignment="1">
      <alignment horizontal="center"/>
    </xf>
    <xf numFmtId="176" fontId="6" fillId="0" borderId="5" xfId="0" applyFont="1" applyBorder="1" applyAlignment="1">
      <alignment horizontal="center"/>
    </xf>
    <xf numFmtId="176" fontId="6" fillId="0" borderId="3" xfId="0" applyFont="1" applyBorder="1" applyAlignment="1">
      <alignment horizontal="center" vertical="center" wrapText="1"/>
    </xf>
    <xf numFmtId="176" fontId="6" fillId="0" borderId="3" xfId="0" applyFont="1" applyBorder="1" applyAlignment="1">
      <alignment horizontal="center" vertical="center"/>
    </xf>
    <xf numFmtId="176" fontId="6" fillId="0" borderId="3" xfId="0" applyFont="1" applyBorder="1" applyAlignment="1">
      <alignment horizontal="center" wrapText="1"/>
    </xf>
    <xf numFmtId="176" fontId="7" fillId="0" borderId="3" xfId="0" applyFont="1" applyBorder="1" applyAlignment="1">
      <alignment horizontal="center" wrapText="1"/>
    </xf>
    <xf numFmtId="181" fontId="0" fillId="0" borderId="0" xfId="0" applyNumberFormat="1"/>
    <xf numFmtId="0" fontId="6" fillId="0" borderId="6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left"/>
    </xf>
    <xf numFmtId="182" fontId="9" fillId="0" borderId="3" xfId="0" applyNumberFormat="1" applyFont="1" applyBorder="1"/>
    <xf numFmtId="176" fontId="9" fillId="0" borderId="3" xfId="0" applyFont="1" applyBorder="1"/>
    <xf numFmtId="183" fontId="9" fillId="0" borderId="3" xfId="0" applyNumberFormat="1" applyFont="1" applyBorder="1" applyAlignment="1">
      <alignment horizontal="right"/>
    </xf>
    <xf numFmtId="176" fontId="6" fillId="0" borderId="6" xfId="0" applyFont="1" applyBorder="1" applyAlignment="1">
      <alignment horizontal="center" wrapText="1"/>
    </xf>
    <xf numFmtId="176" fontId="10" fillId="0" borderId="3" xfId="0" applyFont="1" applyBorder="1"/>
    <xf numFmtId="10" fontId="10" fillId="0" borderId="3" xfId="0" applyNumberFormat="1" applyFont="1" applyBorder="1"/>
    <xf numFmtId="176" fontId="9" fillId="0" borderId="3" xfId="0" applyNumberFormat="1" applyFont="1" applyBorder="1"/>
    <xf numFmtId="49" fontId="9" fillId="0" borderId="3" xfId="0" applyNumberFormat="1" applyFont="1" applyBorder="1" applyAlignment="1">
      <alignment horizontal="left"/>
    </xf>
    <xf numFmtId="49" fontId="11" fillId="0" borderId="7" xfId="0" applyNumberFormat="1" applyFont="1" applyBorder="1" applyAlignment="1">
      <alignment horizontal="center"/>
    </xf>
    <xf numFmtId="176" fontId="12" fillId="0" borderId="8" xfId="0" applyFont="1" applyBorder="1" applyAlignment="1">
      <alignment horizontal="left" vertical="center"/>
    </xf>
    <xf numFmtId="182" fontId="12" fillId="0" borderId="9" xfId="0" applyNumberFormat="1" applyFont="1" applyBorder="1"/>
    <xf numFmtId="176" fontId="12" fillId="0" borderId="0" xfId="0" applyFont="1" applyAlignment="1">
      <alignment horizontal="left" vertical="center"/>
    </xf>
    <xf numFmtId="49" fontId="8" fillId="0" borderId="3" xfId="0" applyNumberFormat="1" applyFont="1" applyBorder="1" applyAlignment="1">
      <alignment vertical="center" wrapText="1"/>
    </xf>
    <xf numFmtId="182" fontId="9" fillId="0" borderId="3" xfId="0" applyNumberFormat="1" applyFont="1" applyBorder="1" applyAlignment="1">
      <alignment wrapText="1"/>
    </xf>
    <xf numFmtId="49" fontId="8" fillId="0" borderId="3" xfId="0" applyNumberFormat="1" applyFont="1" applyBorder="1" applyAlignment="1">
      <alignment vertical="center"/>
    </xf>
    <xf numFmtId="49" fontId="8" fillId="0" borderId="3" xfId="0" applyNumberFormat="1" applyFont="1" applyBorder="1" applyAlignment="1">
      <alignment horizontal="left" vertical="center" wrapText="1"/>
    </xf>
    <xf numFmtId="176" fontId="12" fillId="0" borderId="9" xfId="0" applyFont="1" applyBorder="1"/>
    <xf numFmtId="182" fontId="12" fillId="0" borderId="8" xfId="0" applyNumberFormat="1" applyFont="1" applyBorder="1"/>
    <xf numFmtId="10" fontId="12" fillId="0" borderId="8" xfId="0" applyNumberFormat="1" applyFont="1" applyBorder="1"/>
    <xf numFmtId="176" fontId="12" fillId="0" borderId="8" xfId="0" applyFont="1" applyBorder="1"/>
    <xf numFmtId="44" fontId="6" fillId="0" borderId="0" xfId="2" applyFont="1" applyAlignment="1">
      <alignment horizontal="left"/>
    </xf>
    <xf numFmtId="44" fontId="0" fillId="0" borderId="0" xfId="2" applyFont="1"/>
    <xf numFmtId="44" fontId="0" fillId="0" borderId="0" xfId="2" applyFont="1" applyBorder="1" applyAlignment="1" applyProtection="1"/>
    <xf numFmtId="44" fontId="13" fillId="0" borderId="0" xfId="2" applyFont="1"/>
    <xf numFmtId="176" fontId="6" fillId="0" borderId="0" xfId="0" applyFont="1" applyAlignment="1">
      <alignment horizontal="left"/>
    </xf>
    <xf numFmtId="176" fontId="14" fillId="0" borderId="2" xfId="0" applyFont="1" applyBorder="1"/>
    <xf numFmtId="176" fontId="15" fillId="0" borderId="2" xfId="0" applyFont="1" applyBorder="1"/>
    <xf numFmtId="176" fontId="16" fillId="0" borderId="0" xfId="0" applyFont="1"/>
    <xf numFmtId="176" fontId="16" fillId="0" borderId="0" xfId="0" applyFont="1" applyAlignment="1">
      <alignment horizontal="right"/>
    </xf>
    <xf numFmtId="176" fontId="11" fillId="0" borderId="0" xfId="0" applyFont="1"/>
    <xf numFmtId="176" fontId="6" fillId="0" borderId="0" xfId="0" applyFont="1"/>
    <xf numFmtId="176" fontId="17" fillId="0" borderId="0" xfId="0" applyFont="1" applyAlignment="1">
      <alignment horizontal="right"/>
    </xf>
    <xf numFmtId="49" fontId="16" fillId="0" borderId="0" xfId="0" applyNumberFormat="1" applyFont="1" applyAlignment="1">
      <alignment horizontal="center"/>
    </xf>
    <xf numFmtId="58" fontId="16" fillId="0" borderId="0" xfId="0" applyNumberFormat="1" applyFont="1" applyAlignment="1">
      <alignment horizontal="center"/>
    </xf>
    <xf numFmtId="176" fontId="0" fillId="0" borderId="0" xfId="0" applyAlignment="1">
      <alignment horizontal="right"/>
    </xf>
    <xf numFmtId="176" fontId="6" fillId="0" borderId="0" xfId="0" applyFont="1" applyAlignment="1">
      <alignment horizontal="center"/>
    </xf>
    <xf numFmtId="176" fontId="18" fillId="0" borderId="0" xfId="0" applyFont="1" applyAlignment="1">
      <alignment vertical="center"/>
    </xf>
    <xf numFmtId="176" fontId="16" fillId="0" borderId="2" xfId="0" applyFont="1" applyBorder="1"/>
    <xf numFmtId="176" fontId="6" fillId="0" borderId="2" xfId="0" applyFont="1" applyBorder="1"/>
    <xf numFmtId="176" fontId="18" fillId="0" borderId="2" xfId="0" applyFont="1" applyBorder="1" applyAlignment="1">
      <alignment vertical="center"/>
    </xf>
    <xf numFmtId="176" fontId="19" fillId="0" borderId="0" xfId="0" applyFont="1"/>
    <xf numFmtId="176" fontId="20" fillId="0" borderId="0" xfId="0" applyFont="1"/>
    <xf numFmtId="176" fontId="6" fillId="0" borderId="10" xfId="0" applyFont="1" applyBorder="1"/>
    <xf numFmtId="176" fontId="6" fillId="0" borderId="4" xfId="0" applyFont="1" applyBorder="1"/>
    <xf numFmtId="176" fontId="6" fillId="0" borderId="5" xfId="0" applyFont="1" applyBorder="1"/>
    <xf numFmtId="176" fontId="17" fillId="0" borderId="3" xfId="0" applyFont="1" applyBorder="1" applyAlignment="1">
      <alignment horizontal="center"/>
    </xf>
    <xf numFmtId="176" fontId="6" fillId="0" borderId="3" xfId="0" applyFont="1" applyBorder="1" applyAlignment="1">
      <alignment horizontal="right"/>
    </xf>
    <xf numFmtId="176" fontId="6" fillId="0" borderId="5" xfId="0" applyFont="1" applyBorder="1" applyAlignment="1">
      <alignment horizontal="right"/>
    </xf>
    <xf numFmtId="49" fontId="6" fillId="0" borderId="0" xfId="0" applyNumberFormat="1" applyFont="1" applyAlignment="1">
      <alignment horizontal="right"/>
    </xf>
    <xf numFmtId="183" fontId="16" fillId="0" borderId="2" xfId="0" applyNumberFormat="1" applyFont="1" applyBorder="1"/>
    <xf numFmtId="0" fontId="21" fillId="0" borderId="11" xfId="0" applyNumberFormat="1" applyFont="1" applyBorder="1" applyAlignment="1">
      <alignment horizontal="center"/>
    </xf>
    <xf numFmtId="183" fontId="16" fillId="0" borderId="12" xfId="0" applyNumberFormat="1" applyFont="1" applyBorder="1" applyAlignment="1">
      <alignment horizontal="right" indent="3"/>
    </xf>
    <xf numFmtId="176" fontId="16" fillId="0" borderId="12" xfId="0" applyFont="1" applyBorder="1"/>
    <xf numFmtId="49" fontId="6" fillId="0" borderId="0" xfId="0" applyNumberFormat="1" applyFont="1"/>
    <xf numFmtId="183" fontId="16" fillId="0" borderId="0" xfId="0" applyNumberFormat="1" applyFont="1"/>
    <xf numFmtId="49" fontId="21" fillId="0" borderId="13" xfId="0" applyNumberFormat="1" applyFont="1" applyBorder="1" applyAlignment="1">
      <alignment horizontal="center"/>
    </xf>
    <xf numFmtId="176" fontId="16" fillId="0" borderId="14" xfId="0" applyFont="1" applyBorder="1"/>
    <xf numFmtId="49" fontId="20" fillId="0" borderId="13" xfId="0" applyNumberFormat="1" applyFont="1" applyBorder="1" applyAlignment="1">
      <alignment horizontal="center"/>
    </xf>
    <xf numFmtId="49" fontId="21" fillId="0" borderId="14" xfId="0" applyNumberFormat="1" applyFont="1" applyBorder="1" applyAlignment="1">
      <alignment horizontal="center"/>
    </xf>
    <xf numFmtId="9" fontId="22" fillId="0" borderId="0" xfId="0" applyNumberFormat="1" applyFont="1" applyAlignment="1">
      <alignment horizontal="center"/>
    </xf>
    <xf numFmtId="176" fontId="6" fillId="0" borderId="14" xfId="0" applyFont="1" applyBorder="1"/>
    <xf numFmtId="176" fontId="23" fillId="0" borderId="0" xfId="0" applyFont="1"/>
    <xf numFmtId="183" fontId="24" fillId="0" borderId="15" xfId="0" applyNumberFormat="1" applyFont="1" applyBorder="1"/>
    <xf numFmtId="9" fontId="0" fillId="0" borderId="0" xfId="3" applyFont="1" applyBorder="1" applyAlignment="1" applyProtection="1"/>
    <xf numFmtId="176" fontId="25" fillId="0" borderId="10" xfId="0" applyFont="1" applyBorder="1" applyAlignment="1">
      <alignment horizontal="center"/>
    </xf>
    <xf numFmtId="183" fontId="26" fillId="0" borderId="3" xfId="0" applyNumberFormat="1" applyFont="1" applyBorder="1" applyAlignment="1">
      <alignment horizontal="right"/>
    </xf>
    <xf numFmtId="176" fontId="26" fillId="0" borderId="3" xfId="0" applyFont="1" applyBorder="1" applyAlignment="1">
      <alignment horizontal="right"/>
    </xf>
    <xf numFmtId="176" fontId="20" fillId="0" borderId="16" xfId="0" applyFont="1" applyBorder="1" applyAlignment="1">
      <alignment wrapText="1"/>
    </xf>
    <xf numFmtId="176" fontId="27" fillId="0" borderId="0" xfId="0" applyFont="1" applyBorder="1" applyAlignment="1">
      <alignment vertical="center"/>
    </xf>
    <xf numFmtId="176" fontId="28" fillId="0" borderId="0" xfId="0" applyFont="1" applyBorder="1" applyAlignment="1">
      <alignment horizontal="right" vertical="center"/>
    </xf>
    <xf numFmtId="183" fontId="26" fillId="0" borderId="0" xfId="0" applyNumberFormat="1" applyFont="1" applyBorder="1" applyAlignment="1">
      <alignment vertical="center"/>
    </xf>
    <xf numFmtId="176" fontId="29" fillId="0" borderId="0" xfId="0" applyFont="1"/>
    <xf numFmtId="176" fontId="6" fillId="0" borderId="0" xfId="0" applyFont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FFFF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887760</xdr:colOff>
      <xdr:row>1</xdr:row>
      <xdr:rowOff>0</xdr:rowOff>
    </xdr:from>
    <xdr:to>
      <xdr:col>10</xdr:col>
      <xdr:colOff>18720</xdr:colOff>
      <xdr:row>1</xdr:row>
      <xdr:rowOff>360</xdr:rowOff>
    </xdr:to>
    <xdr:sp>
      <xdr:nvSpPr>
        <xdr:cNvPr id="2" name="CustomShape 1"/>
        <xdr:cNvSpPr/>
      </xdr:nvSpPr>
      <xdr:spPr>
        <a:xfrm>
          <a:off x="11974830" y="276225"/>
          <a:ext cx="35560" cy="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9</xdr:col>
      <xdr:colOff>887760</xdr:colOff>
      <xdr:row>1</xdr:row>
      <xdr:rowOff>0</xdr:rowOff>
    </xdr:from>
    <xdr:to>
      <xdr:col>10</xdr:col>
      <xdr:colOff>18720</xdr:colOff>
      <xdr:row>1</xdr:row>
      <xdr:rowOff>360</xdr:rowOff>
    </xdr:to>
    <xdr:sp>
      <xdr:nvSpPr>
        <xdr:cNvPr id="3" name="CustomShape 1"/>
        <xdr:cNvSpPr/>
      </xdr:nvSpPr>
      <xdr:spPr>
        <a:xfrm>
          <a:off x="11974830" y="276225"/>
          <a:ext cx="35560" cy="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view="pageBreakPreview" zoomScale="106" zoomScalePageLayoutView="200" zoomScaleNormal="100" workbookViewId="0">
      <selection activeCell="B7" sqref="B7"/>
    </sheetView>
  </sheetViews>
  <sheetFormatPr defaultColWidth="9" defaultRowHeight="13.5"/>
  <cols>
    <col min="1" max="1" width="12.125" customWidth="1"/>
    <col min="2" max="2" width="35.25" customWidth="1"/>
    <col min="3" max="3" width="17.625" customWidth="1"/>
    <col min="4" max="4" width="8.875" customWidth="1"/>
    <col min="5" max="5" width="20.25" customWidth="1"/>
    <col min="6" max="6" width="12.625" customWidth="1"/>
    <col min="7" max="7" width="12.25" customWidth="1"/>
    <col min="8" max="8" width="18.375" customWidth="1"/>
    <col min="9" max="26" width="8.75" customWidth="1"/>
    <col min="27" max="1025" width="14.375" customWidth="1"/>
  </cols>
  <sheetData>
    <row r="1" ht="21.75" customHeight="1" spans="1:8">
      <c r="A1" s="52" t="s">
        <v>0</v>
      </c>
      <c r="B1" s="53"/>
      <c r="C1" s="53"/>
      <c r="D1" s="53"/>
      <c r="E1" s="53"/>
      <c r="F1" s="53"/>
      <c r="G1" s="53"/>
      <c r="H1" s="53"/>
    </row>
    <row r="2" ht="6.75" customHeight="1"/>
    <row r="3" ht="12" customHeight="1" spans="1:8">
      <c r="A3" s="54" t="s">
        <v>1</v>
      </c>
      <c r="B3" s="54"/>
      <c r="C3" s="55" t="s">
        <v>2</v>
      </c>
      <c r="D3" s="56"/>
      <c r="E3" s="57"/>
      <c r="G3" s="58" t="s">
        <v>3</v>
      </c>
      <c r="H3" s="59"/>
    </row>
    <row r="4" ht="12" customHeight="1" spans="1:8">
      <c r="A4" s="54"/>
      <c r="B4" s="54"/>
      <c r="D4" s="56"/>
      <c r="E4" s="57"/>
      <c r="G4" s="54"/>
    </row>
    <row r="5" ht="12" customHeight="1" spans="1:8">
      <c r="A5" s="54"/>
      <c r="B5" s="54"/>
      <c r="D5" s="56"/>
      <c r="E5" s="57"/>
      <c r="G5" s="55" t="s">
        <v>4</v>
      </c>
      <c r="H5" s="60"/>
    </row>
    <row r="6" ht="12" customHeight="1" spans="1:8">
      <c r="A6" s="54"/>
      <c r="B6" s="54"/>
      <c r="C6" s="61" t="s">
        <v>5</v>
      </c>
      <c r="D6" s="54"/>
      <c r="G6" s="55" t="s">
        <v>6</v>
      </c>
      <c r="H6" s="60"/>
    </row>
    <row r="7" ht="14.25" customHeight="1" spans="1:8">
      <c r="A7" s="54" t="s">
        <v>7</v>
      </c>
      <c r="B7" s="54" t="s">
        <v>8</v>
      </c>
      <c r="D7" s="54"/>
      <c r="G7" s="55" t="s">
        <v>9</v>
      </c>
      <c r="H7" s="62"/>
    </row>
    <row r="8" customHeight="1" spans="1:8">
      <c r="A8" s="54"/>
      <c r="B8" s="54" t="s">
        <v>10</v>
      </c>
      <c r="D8" s="54"/>
      <c r="E8" s="54"/>
      <c r="F8" s="63"/>
      <c r="G8" s="63"/>
      <c r="H8" s="63"/>
    </row>
    <row r="9" customHeight="1" spans="1:8">
      <c r="A9" s="54"/>
      <c r="B9" s="54" t="s">
        <v>11</v>
      </c>
      <c r="F9" s="63"/>
      <c r="G9" s="63"/>
      <c r="H9" s="63"/>
    </row>
    <row r="10" ht="12" customHeight="1" spans="1:8">
      <c r="A10" s="64"/>
      <c r="B10" s="64"/>
      <c r="C10" s="65"/>
      <c r="D10" s="65"/>
      <c r="E10" s="65"/>
      <c r="F10" s="66"/>
      <c r="G10" s="66"/>
      <c r="H10" s="66"/>
    </row>
    <row r="11" ht="19.5" customHeight="1" spans="1:8">
      <c r="A11" s="67" t="s">
        <v>12</v>
      </c>
      <c r="B11" s="67"/>
      <c r="C11" s="67"/>
      <c r="D11" s="67"/>
      <c r="E11" s="67"/>
      <c r="F11" s="67"/>
      <c r="G11" s="67"/>
      <c r="H11" s="67"/>
    </row>
    <row r="12" ht="12" customHeight="1" spans="1:8">
      <c r="A12" s="65"/>
      <c r="B12" s="65"/>
      <c r="C12" s="65"/>
      <c r="E12" s="68" t="s">
        <v>13</v>
      </c>
    </row>
    <row r="13" ht="14.1" customHeight="1" spans="1:8">
      <c r="A13" s="69" t="s">
        <v>14</v>
      </c>
      <c r="B13" s="70"/>
      <c r="C13" s="71"/>
    </row>
    <row r="14" ht="14.1" customHeight="1" spans="1:8">
      <c r="A14" s="72" t="s">
        <v>15</v>
      </c>
      <c r="B14" s="73" t="s">
        <v>16</v>
      </c>
      <c r="C14" s="74" t="s">
        <v>17</v>
      </c>
      <c r="D14" s="75" t="s">
        <v>18</v>
      </c>
      <c r="E14" t="s">
        <v>19</v>
      </c>
      <c r="H14" s="76">
        <f>'G703'!C36</f>
        <v>0</v>
      </c>
    </row>
    <row r="15" ht="14.1" customHeight="1" spans="1:8">
      <c r="A15" s="77">
        <v>1</v>
      </c>
      <c r="B15" s="78">
        <f>'G703'!C45</f>
        <v>0</v>
      </c>
      <c r="C15" s="79"/>
      <c r="D15" s="80"/>
      <c r="H15" s="81"/>
    </row>
    <row r="16" ht="14.1" customHeight="1" spans="1:8">
      <c r="A16" s="82"/>
      <c r="B16" s="78">
        <f>'G703'!C46</f>
        <v>0</v>
      </c>
      <c r="C16" s="83"/>
      <c r="D16" s="75" t="s">
        <v>20</v>
      </c>
      <c r="E16" t="s">
        <v>21</v>
      </c>
      <c r="H16" s="76">
        <f>SUM(B15:B42)-SUM(C15:C42)</f>
        <v>0</v>
      </c>
    </row>
    <row r="17" ht="14.1" customHeight="1" spans="1:8">
      <c r="A17" s="84"/>
      <c r="B17" s="78">
        <f>'G703'!C47</f>
        <v>0</v>
      </c>
      <c r="C17" s="83"/>
      <c r="D17" s="75"/>
      <c r="H17" s="81"/>
    </row>
    <row r="18" ht="14.1" customHeight="1" spans="1:8">
      <c r="A18" s="82"/>
      <c r="B18" s="78">
        <f>'G703'!C48</f>
        <v>0</v>
      </c>
      <c r="C18" s="83"/>
      <c r="D18" s="75" t="s">
        <v>22</v>
      </c>
      <c r="E18" t="s">
        <v>23</v>
      </c>
      <c r="H18" s="76">
        <f>SUM(H14+H16)</f>
        <v>0</v>
      </c>
    </row>
    <row r="19" ht="14.1" customHeight="1" spans="1:8">
      <c r="A19" s="82"/>
      <c r="B19" s="78">
        <f>'G703'!C49</f>
        <v>0</v>
      </c>
      <c r="C19" s="83"/>
      <c r="D19" s="75"/>
      <c r="H19" s="81"/>
    </row>
    <row r="20" ht="14.1" customHeight="1" spans="1:8">
      <c r="A20" s="82"/>
      <c r="B20" s="78">
        <f>'G703'!C50</f>
        <v>0</v>
      </c>
      <c r="C20" s="83"/>
      <c r="D20" s="75" t="s">
        <v>24</v>
      </c>
      <c r="E20" t="s">
        <v>25</v>
      </c>
      <c r="H20" s="76">
        <f>'G703'!G36+'G703'!G62</f>
        <v>0</v>
      </c>
    </row>
    <row r="21" ht="14.1" customHeight="1" spans="1:8">
      <c r="A21" s="82"/>
      <c r="B21" s="78">
        <f>'G703'!C51</f>
        <v>0</v>
      </c>
      <c r="C21" s="83"/>
      <c r="D21" s="75"/>
    </row>
    <row r="22" ht="14.1" customHeight="1" spans="1:8">
      <c r="A22" s="85"/>
      <c r="B22" s="78">
        <f>'G703'!C52</f>
        <v>0</v>
      </c>
      <c r="C22" s="83"/>
      <c r="D22" s="75" t="s">
        <v>26</v>
      </c>
      <c r="E22" t="s">
        <v>27</v>
      </c>
      <c r="G22" s="86">
        <v>0.1</v>
      </c>
      <c r="H22" s="76">
        <f>'G703'!J36+'G703'!J62</f>
        <v>0</v>
      </c>
    </row>
    <row r="23" ht="14.1" customHeight="1" spans="1:8">
      <c r="A23" s="82"/>
      <c r="B23" s="78">
        <f>'G703'!C53</f>
        <v>0</v>
      </c>
      <c r="C23" s="83"/>
      <c r="D23" s="75"/>
      <c r="H23" s="81"/>
    </row>
    <row r="24" ht="14.1" customHeight="1" spans="1:8">
      <c r="A24" s="82"/>
      <c r="B24" s="78">
        <f>'G703'!C54</f>
        <v>0</v>
      </c>
      <c r="C24" s="83"/>
      <c r="D24" s="75" t="s">
        <v>28</v>
      </c>
      <c r="E24" t="s">
        <v>29</v>
      </c>
      <c r="H24" s="76">
        <f>'G703'!G63-'G703'!J63</f>
        <v>0</v>
      </c>
    </row>
    <row r="25" ht="14.1" customHeight="1" spans="1:8">
      <c r="A25" s="82"/>
      <c r="B25" s="78">
        <f>'G703'!C55</f>
        <v>0</v>
      </c>
      <c r="C25" s="83"/>
      <c r="D25" s="75"/>
    </row>
    <row r="26" ht="14.1" customHeight="1" spans="1:8">
      <c r="A26" s="82"/>
      <c r="B26" s="78">
        <f>'G703'!C56</f>
        <v>0</v>
      </c>
      <c r="C26" s="83"/>
      <c r="D26" s="75" t="s">
        <v>30</v>
      </c>
      <c r="E26" t="s">
        <v>31</v>
      </c>
      <c r="H26" s="76">
        <f>'G703'!D63-('G703'!D63*'G702'!G22)</f>
        <v>0</v>
      </c>
    </row>
    <row r="27" ht="14.1" customHeight="1" spans="1:8">
      <c r="A27" s="82"/>
      <c r="B27" s="78">
        <f>'G703'!C57</f>
        <v>0</v>
      </c>
      <c r="C27" s="87"/>
      <c r="D27" s="75"/>
      <c r="E27" t="s">
        <v>32</v>
      </c>
    </row>
    <row r="28" ht="14.1" customHeight="1" spans="1:8">
      <c r="A28" s="82"/>
      <c r="B28" s="78">
        <f>'G703'!C58</f>
        <v>0</v>
      </c>
      <c r="C28" s="83"/>
      <c r="D28" s="75" t="s">
        <v>33</v>
      </c>
      <c r="E28" s="88" t="s">
        <v>34</v>
      </c>
      <c r="F28" s="88"/>
      <c r="G28" s="88"/>
      <c r="H28" s="89">
        <f>H24-H26</f>
        <v>0</v>
      </c>
    </row>
    <row r="29" ht="14.1" customHeight="1" spans="1:8">
      <c r="A29" s="82"/>
      <c r="B29" s="78">
        <f>'G703'!C59</f>
        <v>0</v>
      </c>
      <c r="C29" s="87"/>
      <c r="D29" s="75"/>
      <c r="H29" s="81"/>
    </row>
    <row r="30" ht="14.1" customHeight="1" spans="1:8">
      <c r="A30" s="82"/>
      <c r="B30" s="78">
        <f>'G703'!C60</f>
        <v>0</v>
      </c>
      <c r="C30" s="87"/>
      <c r="D30" s="75"/>
    </row>
    <row r="31" ht="14.1" customHeight="1" spans="1:8">
      <c r="A31" s="82"/>
      <c r="B31" s="78">
        <f>'G703'!C61</f>
        <v>0</v>
      </c>
      <c r="C31" s="87"/>
      <c r="D31" s="75"/>
    </row>
    <row r="32" ht="14.1" customHeight="1" spans="1:8">
      <c r="A32" s="82"/>
      <c r="B32" s="78">
        <f>'G703'!C62</f>
        <v>0</v>
      </c>
      <c r="C32" s="87"/>
      <c r="D32" s="75"/>
    </row>
    <row r="33" ht="14.1" customHeight="1" spans="1:26">
      <c r="A33" s="82"/>
      <c r="B33" s="78">
        <f>'G703'!C63</f>
        <v>0</v>
      </c>
      <c r="C33" s="87"/>
      <c r="D33" s="75"/>
    </row>
    <row r="34" ht="14.1" customHeight="1" spans="1:26">
      <c r="A34" s="82"/>
      <c r="B34" s="78">
        <f>'G703'!C64</f>
        <v>0</v>
      </c>
      <c r="C34" s="87"/>
      <c r="D34" s="75"/>
    </row>
    <row r="35" ht="14.1" customHeight="1" spans="1:26">
      <c r="A35" s="82"/>
      <c r="B35" s="78">
        <f>'G703'!C65</f>
        <v>0</v>
      </c>
      <c r="C35" s="87"/>
      <c r="D35" s="75"/>
    </row>
    <row r="36" ht="14.1" customHeight="1" spans="1:26">
      <c r="A36" s="82"/>
      <c r="B36" s="78">
        <f>'G703'!C66</f>
        <v>0</v>
      </c>
      <c r="C36" s="87"/>
      <c r="D36" s="75"/>
    </row>
    <row r="37" ht="14.1" customHeight="1" spans="1:26">
      <c r="A37" s="82"/>
      <c r="B37" s="78">
        <f>'G703'!C67</f>
        <v>0</v>
      </c>
      <c r="C37" s="87"/>
      <c r="D37" s="75"/>
    </row>
    <row r="38" ht="14.1" customHeight="1" spans="1:26">
      <c r="A38" s="82"/>
      <c r="B38" s="78">
        <f>'G703'!C68</f>
        <v>0</v>
      </c>
      <c r="C38" s="87"/>
      <c r="D38" s="75"/>
    </row>
    <row r="39" ht="14.1" customHeight="1" spans="1:26">
      <c r="A39" s="82"/>
      <c r="B39" s="78">
        <f>'G703'!C69</f>
        <v>0</v>
      </c>
      <c r="C39" s="87"/>
      <c r="D39" s="75"/>
    </row>
    <row r="40" ht="14.1" customHeight="1" spans="1:26">
      <c r="A40" s="82"/>
      <c r="B40" s="78">
        <f>'G703'!C70</f>
        <v>0</v>
      </c>
      <c r="C40" s="87"/>
      <c r="D40" s="75"/>
    </row>
    <row r="41" ht="14.1" customHeight="1" spans="1:26">
      <c r="A41" s="82"/>
      <c r="B41" s="78">
        <f>'G703'!C71</f>
        <v>0</v>
      </c>
      <c r="C41" s="87"/>
      <c r="D41" s="75"/>
    </row>
    <row r="42" ht="14.1" customHeight="1" spans="1:26">
      <c r="A42" s="82"/>
      <c r="B42" s="78">
        <f>'G703'!C72</f>
        <v>0</v>
      </c>
      <c r="C42" s="87"/>
      <c r="D42" s="75"/>
      <c r="G42" s="90"/>
    </row>
    <row r="43" ht="14.1" customHeight="1" spans="1:26">
      <c r="A43" s="91" t="s">
        <v>35</v>
      </c>
      <c r="B43" s="92">
        <f>SUM(B15:B42)</f>
        <v>0</v>
      </c>
      <c r="C43" s="93">
        <f>SUM(C15:C26)</f>
        <v>0</v>
      </c>
      <c r="D43" s="75" t="s">
        <v>36</v>
      </c>
      <c r="E43" t="s">
        <v>37</v>
      </c>
      <c r="H43" s="54">
        <f>'G703'!I36+'G703'!J36+'G703'!I62+'G703'!J62</f>
        <v>0</v>
      </c>
    </row>
    <row r="44" ht="12.75" customHeight="1" spans="1:26">
      <c r="B44" s="94"/>
      <c r="C44" s="94"/>
      <c r="E44" s="57" t="s">
        <v>38</v>
      </c>
      <c r="F44" s="57"/>
    </row>
    <row r="45" ht="12" customHeight="1" spans="1:26">
      <c r="A45" s="95"/>
      <c r="B45" s="96" t="s">
        <v>39</v>
      </c>
      <c r="C45" s="97">
        <f>B43-C43</f>
        <v>0</v>
      </c>
      <c r="D45" s="57"/>
      <c r="E45" s="57"/>
      <c r="F45" s="57"/>
      <c r="G45" s="68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ht="12" customHeight="1" spans="1:26">
      <c r="A46" s="95"/>
      <c r="B46" s="95"/>
      <c r="C46" s="95"/>
      <c r="E46" s="68"/>
      <c r="F46" s="68"/>
      <c r="G46" s="68"/>
    </row>
    <row r="47" ht="0.75" customHeight="1" spans="1:26">
      <c r="A47" s="95"/>
      <c r="B47" s="95"/>
      <c r="C47" s="95"/>
      <c r="E47" s="68"/>
      <c r="F47" s="68"/>
      <c r="G47" s="68"/>
      <c r="H47" s="57"/>
    </row>
    <row r="48" ht="12" hidden="1" customHeight="1" spans="1:26">
      <c r="A48" s="95"/>
      <c r="B48" s="95"/>
      <c r="C48" s="95"/>
      <c r="E48" s="68"/>
      <c r="F48" s="57"/>
      <c r="G48" s="57"/>
      <c r="H48" s="57"/>
    </row>
    <row r="49" ht="12" customHeight="1" spans="1:8">
      <c r="A49" s="98"/>
      <c r="E49" s="68"/>
      <c r="F49" s="57"/>
      <c r="G49" s="57"/>
      <c r="H49" s="57"/>
    </row>
    <row r="50" ht="12" customHeight="1" spans="1:8">
      <c r="D50" s="57"/>
      <c r="E50" s="57"/>
      <c r="F50" s="57"/>
      <c r="G50" s="57"/>
      <c r="H50" s="57"/>
    </row>
    <row r="51" ht="12" customHeight="1" spans="1:8">
      <c r="A51" s="99"/>
      <c r="B51" s="57"/>
      <c r="C51" s="51"/>
      <c r="D51" s="57"/>
    </row>
    <row r="52" ht="12" customHeight="1" spans="1:8">
      <c r="D52" s="57"/>
    </row>
    <row r="53" ht="12" customHeight="1" spans="1:8">
      <c r="D53" s="57"/>
    </row>
    <row r="55" ht="12" customHeight="1" spans="1:8">
      <c r="E55" s="57"/>
      <c r="F55" s="57"/>
      <c r="G55" s="57"/>
      <c r="H55" s="57"/>
    </row>
    <row r="56" ht="12" customHeight="1" spans="1:8">
      <c r="E56" s="57"/>
      <c r="F56" s="57"/>
      <c r="G56" s="57"/>
      <c r="H56" s="57"/>
    </row>
    <row r="57" ht="12" customHeight="1" spans="1:8">
      <c r="E57" s="57"/>
      <c r="F57" s="57"/>
      <c r="G57" s="57"/>
      <c r="H57" s="57"/>
    </row>
    <row r="58" ht="12" customHeight="1" spans="1:8">
      <c r="D58" s="57"/>
    </row>
    <row r="60" ht="12" customHeight="1" spans="1:8">
      <c r="A60" s="57"/>
      <c r="B60" s="57"/>
      <c r="C60" s="57"/>
      <c r="D60" s="57"/>
      <c r="E60" s="57"/>
      <c r="F60" s="57"/>
      <c r="G60" s="57"/>
      <c r="H60" s="57"/>
    </row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220138888888889" right="0.220138888888889" top="0.209722222222222" bottom="0.15" header="0.511805555555555" footer="0.511805555555555"/>
  <pageSetup paperSize="1" scale="87" firstPageNumber="0" orientation="landscape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680"/>
  <sheetViews>
    <sheetView showGridLines="0" view="pageBreakPreview" zoomScale="130" zoomScalePageLayoutView="200" zoomScaleNormal="100" workbookViewId="0">
      <selection activeCell="B26" sqref="B11:C26"/>
    </sheetView>
  </sheetViews>
  <sheetFormatPr defaultColWidth="9" defaultRowHeight="13.5"/>
  <cols>
    <col min="1" max="1" width="10.625" customWidth="1"/>
    <col min="2" max="2" width="36.875" customWidth="1"/>
    <col min="3" max="3" width="16.375" customWidth="1"/>
    <col min="4" max="4" width="13.625" customWidth="1"/>
    <col min="5" max="5" width="13" customWidth="1"/>
    <col min="6" max="7" width="16" customWidth="1"/>
    <col min="8" max="8" width="9.25" customWidth="1"/>
    <col min="9" max="9" width="13.75" customWidth="1"/>
    <col min="10" max="10" width="11.875" customWidth="1"/>
    <col min="11" max="11" width="12.2083333333333" customWidth="1"/>
    <col min="12" max="12" width="13" customWidth="1"/>
    <col min="13" max="13" width="11.875" customWidth="1"/>
    <col min="14" max="26" width="5.625" customWidth="1"/>
    <col min="27" max="1025" width="14.375" customWidth="1"/>
  </cols>
  <sheetData>
    <row r="1" ht="21.75" customHeight="1" spans="1:26">
      <c r="A1" s="1" t="s">
        <v>40</v>
      </c>
      <c r="B1" s="2"/>
      <c r="C1" s="3"/>
      <c r="D1" s="4" t="s">
        <v>41</v>
      </c>
      <c r="E1" s="4"/>
      <c r="F1" s="4"/>
      <c r="G1" s="2"/>
      <c r="H1" s="3"/>
      <c r="I1" s="3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 spans="1:26">
      <c r="A2" s="6" t="s">
        <v>42</v>
      </c>
      <c r="B2" s="7"/>
      <c r="C2" s="8" t="s">
        <v>43</v>
      </c>
      <c r="D2" s="9">
        <f>'G702'!D3</f>
        <v>0</v>
      </c>
      <c r="E2" s="6"/>
      <c r="F2" s="6"/>
      <c r="G2" s="7" t="s">
        <v>44</v>
      </c>
      <c r="H2" s="6" t="s">
        <v>44</v>
      </c>
      <c r="I2" s="10" t="s">
        <v>44</v>
      </c>
      <c r="J2" s="6"/>
    </row>
    <row r="3" ht="19.5" customHeight="1" spans="1:26">
      <c r="A3" s="6" t="s">
        <v>10</v>
      </c>
      <c r="B3" s="7"/>
      <c r="C3" s="11" t="s">
        <v>45</v>
      </c>
      <c r="D3" s="8">
        <f>'G702'!D6</f>
        <v>0</v>
      </c>
      <c r="E3" s="8"/>
      <c r="F3" s="8"/>
      <c r="G3" s="6"/>
      <c r="H3" s="12" t="s">
        <v>46</v>
      </c>
      <c r="I3" s="13">
        <f>'G702'!H3</f>
        <v>0</v>
      </c>
      <c r="J3" s="13"/>
    </row>
    <row r="4" ht="19.5" customHeight="1" spans="1:26">
      <c r="A4" s="6" t="s">
        <v>11</v>
      </c>
      <c r="B4" s="7"/>
      <c r="D4" s="14">
        <f>'G702'!D7</f>
        <v>0</v>
      </c>
      <c r="E4" s="14"/>
      <c r="F4" s="14"/>
      <c r="G4" s="7"/>
      <c r="H4" s="12" t="s">
        <v>47</v>
      </c>
      <c r="I4" s="15">
        <f>'G702'!H5</f>
        <v>0</v>
      </c>
      <c r="J4" s="15"/>
    </row>
    <row r="5" ht="19.5" customHeight="1" spans="1:26">
      <c r="A5" s="6"/>
      <c r="B5" s="7"/>
      <c r="C5" s="6"/>
      <c r="D5" s="7">
        <f>'G702'!D8</f>
        <v>0</v>
      </c>
      <c r="E5" s="6"/>
      <c r="F5" s="6"/>
      <c r="G5" s="7"/>
      <c r="H5" s="12" t="s">
        <v>48</v>
      </c>
      <c r="I5" s="16">
        <f>'G702'!H6</f>
        <v>0</v>
      </c>
      <c r="J5" s="16"/>
    </row>
    <row r="6" ht="12" customHeight="1" spans="1:26">
      <c r="A6" s="17" t="s">
        <v>49</v>
      </c>
      <c r="B6" s="17" t="s">
        <v>50</v>
      </c>
      <c r="C6" s="17" t="s">
        <v>51</v>
      </c>
      <c r="D6" s="17" t="s">
        <v>52</v>
      </c>
      <c r="E6" s="17" t="s">
        <v>53</v>
      </c>
      <c r="F6" s="17" t="s">
        <v>54</v>
      </c>
      <c r="G6" s="17" t="s">
        <v>55</v>
      </c>
      <c r="H6" s="18" t="s">
        <v>56</v>
      </c>
      <c r="I6" s="17" t="s">
        <v>57</v>
      </c>
      <c r="J6" s="19" t="s">
        <v>58</v>
      </c>
    </row>
    <row r="7" ht="12" customHeight="1" spans="1:26">
      <c r="A7" s="20" t="s">
        <v>59</v>
      </c>
      <c r="B7" s="21" t="s">
        <v>60</v>
      </c>
      <c r="C7" s="20" t="s">
        <v>61</v>
      </c>
      <c r="D7" s="17" t="s">
        <v>62</v>
      </c>
      <c r="E7" s="17"/>
      <c r="F7" s="22" t="s">
        <v>63</v>
      </c>
      <c r="G7" s="23" t="s">
        <v>64</v>
      </c>
      <c r="H7" s="20" t="s">
        <v>65</v>
      </c>
      <c r="I7" s="22" t="s">
        <v>66</v>
      </c>
      <c r="J7" s="21" t="s">
        <v>67</v>
      </c>
    </row>
    <row r="8" ht="12" customHeight="1" spans="1:26">
      <c r="A8" s="20"/>
      <c r="B8" s="20"/>
      <c r="C8" s="20"/>
      <c r="D8" s="22" t="s">
        <v>68</v>
      </c>
      <c r="E8" s="20" t="s">
        <v>69</v>
      </c>
      <c r="F8" s="22"/>
      <c r="G8" s="22"/>
      <c r="H8" s="22"/>
      <c r="I8" s="22"/>
      <c r="J8" s="22"/>
    </row>
    <row r="9" ht="12" customHeight="1" spans="1:26">
      <c r="A9" s="20"/>
      <c r="B9" s="20"/>
      <c r="C9" s="20"/>
      <c r="D9" s="20"/>
      <c r="E9" s="20"/>
      <c r="F9" s="20"/>
      <c r="G9" s="20"/>
      <c r="H9" s="20"/>
      <c r="I9" s="20"/>
      <c r="J9" s="20"/>
    </row>
    <row r="10" ht="12" customHeight="1" spans="1:26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4"/>
    </row>
    <row r="11" ht="19.5" customHeight="1" spans="1:26">
      <c r="A11" s="25">
        <v>1</v>
      </c>
      <c r="B11" s="26"/>
      <c r="C11" s="27"/>
      <c r="D11" s="28"/>
      <c r="E11" s="29"/>
      <c r="F11" s="30"/>
      <c r="G11" s="31">
        <f t="shared" ref="G11:G24" si="0">+D11+E11+F11</f>
        <v>0</v>
      </c>
      <c r="H11" s="32" t="e">
        <f t="shared" ref="H11:H25" si="1">+G11/C11</f>
        <v>#DIV/0!</v>
      </c>
      <c r="I11" s="31">
        <f t="shared" ref="I11:I25" si="2">+C11-G11</f>
        <v>0</v>
      </c>
      <c r="J11" s="31">
        <f>SUM(D11:E11)*'G702'!$G$22</f>
        <v>0</v>
      </c>
    </row>
    <row r="12" ht="19.5" customHeight="1" spans="1:26">
      <c r="A12" s="25">
        <f t="shared" ref="A12:A21" si="3">A11+1</f>
        <v>2</v>
      </c>
      <c r="B12" s="26"/>
      <c r="C12" s="27"/>
      <c r="D12" s="28"/>
      <c r="E12" s="29"/>
      <c r="F12" s="30"/>
      <c r="G12" s="31">
        <f t="shared" si="0"/>
        <v>0</v>
      </c>
      <c r="H12" s="32" t="e">
        <f t="shared" si="1"/>
        <v>#DIV/0!</v>
      </c>
      <c r="I12" s="31">
        <f t="shared" si="2"/>
        <v>0</v>
      </c>
      <c r="J12" s="31">
        <f>SUM(G12)*'G702'!$G$22</f>
        <v>0</v>
      </c>
    </row>
    <row r="13" ht="19.5" customHeight="1" spans="1:26">
      <c r="A13" s="25">
        <f t="shared" si="3"/>
        <v>3</v>
      </c>
      <c r="B13" s="26"/>
      <c r="C13" s="27"/>
      <c r="D13" s="28"/>
      <c r="E13" s="29"/>
      <c r="F13" s="30"/>
      <c r="G13" s="31">
        <f t="shared" si="0"/>
        <v>0</v>
      </c>
      <c r="H13" s="32" t="e">
        <f t="shared" si="1"/>
        <v>#DIV/0!</v>
      </c>
      <c r="I13" s="31">
        <f t="shared" si="2"/>
        <v>0</v>
      </c>
      <c r="J13" s="31">
        <f>SUM(G13)*'G702'!$G$22</f>
        <v>0</v>
      </c>
      <c r="K13" s="24"/>
    </row>
    <row r="14" ht="19.5" customHeight="1" spans="1:26">
      <c r="A14" s="25">
        <f t="shared" si="3"/>
        <v>4</v>
      </c>
      <c r="B14" s="26"/>
      <c r="C14" s="27"/>
      <c r="D14" s="28"/>
      <c r="E14" s="29"/>
      <c r="F14" s="30"/>
      <c r="G14" s="31">
        <f t="shared" si="0"/>
        <v>0</v>
      </c>
      <c r="H14" s="32" t="e">
        <f t="shared" si="1"/>
        <v>#DIV/0!</v>
      </c>
      <c r="I14" s="31">
        <f t="shared" si="2"/>
        <v>0</v>
      </c>
      <c r="J14" s="31">
        <f>SUM(G14)*'G702'!$G$22</f>
        <v>0</v>
      </c>
      <c r="K14" s="24"/>
    </row>
    <row r="15" ht="19.5" customHeight="1" spans="1:26">
      <c r="A15" s="25">
        <f t="shared" si="3"/>
        <v>5</v>
      </c>
      <c r="B15" s="26"/>
      <c r="C15" s="27"/>
      <c r="D15" s="28"/>
      <c r="E15" s="29"/>
      <c r="F15" s="30"/>
      <c r="G15" s="31">
        <f t="shared" si="0"/>
        <v>0</v>
      </c>
      <c r="H15" s="32" t="e">
        <f t="shared" si="1"/>
        <v>#DIV/0!</v>
      </c>
      <c r="I15" s="31">
        <f t="shared" si="2"/>
        <v>0</v>
      </c>
      <c r="J15" s="31">
        <f>SUM(G15)*'G702'!$G$22</f>
        <v>0</v>
      </c>
      <c r="K15" s="24"/>
    </row>
    <row r="16" ht="19.5" customHeight="1" spans="1:26">
      <c r="A16" s="25">
        <f t="shared" si="3"/>
        <v>6</v>
      </c>
      <c r="B16" s="26"/>
      <c r="C16" s="27"/>
      <c r="D16" s="33"/>
      <c r="E16" s="29"/>
      <c r="F16" s="30"/>
      <c r="G16" s="31">
        <f t="shared" si="0"/>
        <v>0</v>
      </c>
      <c r="H16" s="32" t="e">
        <f t="shared" si="1"/>
        <v>#DIV/0!</v>
      </c>
      <c r="I16" s="31">
        <f t="shared" si="2"/>
        <v>0</v>
      </c>
      <c r="J16" s="31">
        <f>SUM(G16)*'G702'!$G$22</f>
        <v>0</v>
      </c>
      <c r="K16" s="24"/>
    </row>
    <row r="17" ht="19.5" customHeight="1" spans="1:11">
      <c r="A17" s="25">
        <f t="shared" si="3"/>
        <v>7</v>
      </c>
      <c r="B17" s="26"/>
      <c r="C17" s="27"/>
      <c r="D17" s="28"/>
      <c r="E17" s="29"/>
      <c r="F17" s="30"/>
      <c r="G17" s="31">
        <f t="shared" si="0"/>
        <v>0</v>
      </c>
      <c r="H17" s="32" t="e">
        <f t="shared" si="1"/>
        <v>#DIV/0!</v>
      </c>
      <c r="I17" s="31">
        <f t="shared" si="2"/>
        <v>0</v>
      </c>
      <c r="J17" s="31">
        <f>SUM(G17)*'G702'!$G$22</f>
        <v>0</v>
      </c>
      <c r="K17" s="24"/>
    </row>
    <row r="18" ht="19.5" customHeight="1" spans="1:11">
      <c r="A18" s="25">
        <f t="shared" si="3"/>
        <v>8</v>
      </c>
      <c r="B18" s="26"/>
      <c r="C18" s="27"/>
      <c r="D18" s="28"/>
      <c r="E18" s="29"/>
      <c r="F18" s="30"/>
      <c r="G18" s="31">
        <f t="shared" si="0"/>
        <v>0</v>
      </c>
      <c r="H18" s="32" t="e">
        <f t="shared" si="1"/>
        <v>#DIV/0!</v>
      </c>
      <c r="I18" s="31">
        <f t="shared" si="2"/>
        <v>0</v>
      </c>
      <c r="J18" s="31">
        <f>SUM(G18)*'G702'!$G$22</f>
        <v>0</v>
      </c>
      <c r="K18" s="24"/>
    </row>
    <row r="19" ht="19.5" customHeight="1" spans="1:11">
      <c r="A19" s="25">
        <f t="shared" si="3"/>
        <v>9</v>
      </c>
      <c r="B19" s="26"/>
      <c r="C19" s="27"/>
      <c r="D19" s="28"/>
      <c r="E19" s="29"/>
      <c r="F19" s="30"/>
      <c r="G19" s="31">
        <f t="shared" si="0"/>
        <v>0</v>
      </c>
      <c r="H19" s="32" t="e">
        <f t="shared" si="1"/>
        <v>#DIV/0!</v>
      </c>
      <c r="I19" s="31">
        <f t="shared" si="2"/>
        <v>0</v>
      </c>
      <c r="J19" s="31">
        <f>SUM(G19)*'G702'!$G$22</f>
        <v>0</v>
      </c>
      <c r="K19" s="24"/>
    </row>
    <row r="20" ht="19.5" customHeight="1" spans="1:11">
      <c r="A20" s="25">
        <f t="shared" si="3"/>
        <v>10</v>
      </c>
      <c r="B20" s="26"/>
      <c r="C20" s="27"/>
      <c r="D20" s="28"/>
      <c r="E20" s="29"/>
      <c r="F20" s="30"/>
      <c r="G20" s="31">
        <f t="shared" si="0"/>
        <v>0</v>
      </c>
      <c r="H20" s="32" t="e">
        <f t="shared" si="1"/>
        <v>#DIV/0!</v>
      </c>
      <c r="I20" s="31">
        <f t="shared" si="2"/>
        <v>0</v>
      </c>
      <c r="J20" s="31">
        <f>SUM(G20)*'G702'!$G$22</f>
        <v>0</v>
      </c>
      <c r="K20" s="24"/>
    </row>
    <row r="21" ht="19.5" customHeight="1" spans="1:11">
      <c r="A21" s="25">
        <f t="shared" si="3"/>
        <v>11</v>
      </c>
      <c r="B21" s="26"/>
      <c r="C21" s="27"/>
      <c r="D21" s="28"/>
      <c r="E21" s="29"/>
      <c r="F21" s="30"/>
      <c r="G21" s="31">
        <f t="shared" ref="G21:G23" si="4">+D21+E21+F21</f>
        <v>0</v>
      </c>
      <c r="H21" s="32" t="e">
        <f t="shared" ref="H21:H23" si="5">+G21/C21</f>
        <v>#DIV/0!</v>
      </c>
      <c r="I21" s="31">
        <f t="shared" ref="I21:I23" si="6">+C21-G21</f>
        <v>0</v>
      </c>
      <c r="J21" s="31">
        <f>SUM(D21:E21)*'G702'!$G$22</f>
        <v>0</v>
      </c>
      <c r="K21" s="24"/>
    </row>
    <row r="22" ht="19.5" customHeight="1" spans="1:11">
      <c r="A22" s="25">
        <v>12</v>
      </c>
      <c r="B22" s="26"/>
      <c r="C22" s="27"/>
      <c r="D22" s="28"/>
      <c r="E22" s="29"/>
      <c r="F22" s="30"/>
      <c r="G22" s="31">
        <f t="shared" si="4"/>
        <v>0</v>
      </c>
      <c r="H22" s="32" t="e">
        <f t="shared" si="5"/>
        <v>#DIV/0!</v>
      </c>
      <c r="I22" s="31">
        <f t="shared" si="6"/>
        <v>0</v>
      </c>
      <c r="J22" s="31">
        <f>SUM(D22:E22)*'G702'!$G$22</f>
        <v>0</v>
      </c>
      <c r="K22" s="24"/>
    </row>
    <row r="23" ht="19.5" customHeight="1" spans="1:11">
      <c r="A23" s="25">
        <v>13</v>
      </c>
      <c r="B23" s="26"/>
      <c r="C23" s="27"/>
      <c r="D23" s="28"/>
      <c r="E23" s="29"/>
      <c r="F23" s="30"/>
      <c r="G23" s="31">
        <f t="shared" si="4"/>
        <v>0</v>
      </c>
      <c r="H23" s="32" t="e">
        <f t="shared" si="5"/>
        <v>#DIV/0!</v>
      </c>
      <c r="I23" s="31">
        <f t="shared" si="6"/>
        <v>0</v>
      </c>
      <c r="J23" s="31">
        <f>SUM(D23:E23)*'G702'!$G$22</f>
        <v>0</v>
      </c>
      <c r="K23" s="24"/>
    </row>
    <row r="24" ht="19.5" customHeight="1" spans="1:11">
      <c r="A24" s="25">
        <v>14</v>
      </c>
      <c r="B24" s="34"/>
      <c r="C24" s="27"/>
      <c r="D24" s="28"/>
      <c r="E24" s="29"/>
      <c r="F24" s="30"/>
      <c r="G24" s="31">
        <f t="shared" si="0"/>
        <v>0</v>
      </c>
      <c r="H24" s="32" t="e">
        <f t="shared" si="1"/>
        <v>#DIV/0!</v>
      </c>
      <c r="I24" s="31">
        <f t="shared" si="2"/>
        <v>0</v>
      </c>
      <c r="J24" s="31">
        <f>SUM(G24)*'G702'!$G$22</f>
        <v>0</v>
      </c>
      <c r="K24" s="24"/>
    </row>
    <row r="25" ht="19.5" customHeight="1" spans="1:11">
      <c r="A25" s="25">
        <f>A24+1</f>
        <v>15</v>
      </c>
      <c r="B25" s="26"/>
      <c r="C25" s="27"/>
      <c r="D25" s="28"/>
      <c r="E25" s="29"/>
      <c r="F25" s="30"/>
      <c r="G25" s="31"/>
      <c r="H25" s="32"/>
      <c r="I25" s="31"/>
      <c r="J25" s="31"/>
      <c r="K25" s="24"/>
    </row>
    <row r="26" ht="19.5" customHeight="1" spans="1:11">
      <c r="A26" s="25">
        <f t="shared" ref="A26:A35" si="7">A25+1</f>
        <v>16</v>
      </c>
      <c r="B26" s="26"/>
      <c r="C26" s="27"/>
      <c r="D26" s="28"/>
      <c r="E26" s="29"/>
      <c r="F26" s="30"/>
      <c r="G26" s="31"/>
      <c r="H26" s="32"/>
      <c r="I26" s="31"/>
      <c r="J26" s="31"/>
      <c r="K26" s="24"/>
    </row>
    <row r="27" ht="19.5" customHeight="1" spans="1:11">
      <c r="A27" s="25">
        <f t="shared" si="7"/>
        <v>17</v>
      </c>
      <c r="B27" s="26"/>
      <c r="C27" s="27"/>
      <c r="D27" s="28"/>
      <c r="E27" s="29"/>
      <c r="F27" s="30"/>
      <c r="G27" s="31"/>
      <c r="H27" s="32"/>
      <c r="I27" s="31"/>
      <c r="J27" s="31"/>
      <c r="K27" s="24"/>
    </row>
    <row r="28" ht="19.5" customHeight="1" spans="1:11">
      <c r="A28" s="25">
        <f t="shared" si="7"/>
        <v>18</v>
      </c>
      <c r="B28" s="26"/>
      <c r="C28" s="27"/>
      <c r="D28" s="28"/>
      <c r="E28" s="29"/>
      <c r="F28" s="30"/>
      <c r="G28" s="31"/>
      <c r="H28" s="32"/>
      <c r="I28" s="31"/>
      <c r="J28" s="31"/>
      <c r="K28" s="24"/>
    </row>
    <row r="29" ht="19.5" customHeight="1" spans="1:11">
      <c r="A29" s="25">
        <f t="shared" si="7"/>
        <v>19</v>
      </c>
      <c r="B29" s="26"/>
      <c r="C29" s="27"/>
      <c r="D29" s="28"/>
      <c r="E29" s="29"/>
      <c r="F29" s="30"/>
      <c r="G29" s="31"/>
      <c r="H29" s="32"/>
      <c r="I29" s="31"/>
      <c r="J29" s="31"/>
      <c r="K29" s="24"/>
    </row>
    <row r="30" ht="19.5" customHeight="1" spans="1:11">
      <c r="A30" s="25">
        <f t="shared" si="7"/>
        <v>20</v>
      </c>
      <c r="B30" s="26"/>
      <c r="C30" s="27"/>
      <c r="D30" s="28"/>
      <c r="E30" s="29"/>
      <c r="F30" s="30"/>
      <c r="G30" s="31"/>
      <c r="H30" s="32"/>
      <c r="I30" s="31"/>
      <c r="J30" s="31"/>
      <c r="K30" s="24"/>
    </row>
    <row r="31" ht="19.5" customHeight="1" spans="1:11">
      <c r="A31" s="25">
        <f t="shared" si="7"/>
        <v>21</v>
      </c>
      <c r="B31" s="26"/>
      <c r="C31" s="27"/>
      <c r="D31" s="28"/>
      <c r="E31" s="29"/>
      <c r="F31" s="30"/>
      <c r="G31" s="31"/>
      <c r="H31" s="32"/>
      <c r="I31" s="31"/>
      <c r="J31" s="31"/>
      <c r="K31" s="24"/>
    </row>
    <row r="32" ht="19.5" customHeight="1" spans="1:11">
      <c r="A32" s="25">
        <f t="shared" si="7"/>
        <v>22</v>
      </c>
      <c r="B32" s="26"/>
      <c r="C32" s="27"/>
      <c r="D32" s="28"/>
      <c r="E32" s="29"/>
      <c r="F32" s="30"/>
      <c r="G32" s="31"/>
      <c r="H32" s="32"/>
      <c r="I32" s="31"/>
      <c r="J32" s="31"/>
      <c r="K32" s="24"/>
    </row>
    <row r="33" ht="19.5" customHeight="1" spans="1:11">
      <c r="A33" s="25">
        <f t="shared" si="7"/>
        <v>23</v>
      </c>
      <c r="B33" s="26"/>
      <c r="C33" s="27"/>
      <c r="D33" s="28"/>
      <c r="E33" s="29"/>
      <c r="F33" s="30"/>
      <c r="G33" s="31"/>
      <c r="H33" s="32"/>
      <c r="I33" s="31"/>
      <c r="J33" s="31"/>
      <c r="K33" s="24"/>
    </row>
    <row r="34" ht="19.5" customHeight="1" spans="1:11">
      <c r="A34" s="25">
        <f t="shared" si="7"/>
        <v>24</v>
      </c>
      <c r="B34" s="26"/>
      <c r="C34" s="27"/>
      <c r="D34" s="28"/>
      <c r="E34" s="29"/>
      <c r="F34" s="30"/>
      <c r="G34" s="31"/>
      <c r="H34" s="32"/>
      <c r="I34" s="31"/>
      <c r="J34" s="31"/>
      <c r="K34" s="24"/>
    </row>
    <row r="35" ht="19.5" customHeight="1" spans="1:11">
      <c r="A35" s="25">
        <f t="shared" si="7"/>
        <v>25</v>
      </c>
      <c r="B35" s="26"/>
      <c r="C35" s="27"/>
      <c r="D35" s="28"/>
      <c r="E35" s="29"/>
      <c r="F35" s="30"/>
      <c r="G35" s="31"/>
      <c r="H35" s="32"/>
      <c r="I35" s="31"/>
      <c r="J35" s="31"/>
      <c r="K35" s="24"/>
    </row>
    <row r="36" ht="21" customHeight="1" spans="1:11">
      <c r="A36" s="35"/>
      <c r="B36" s="36" t="s">
        <v>35</v>
      </c>
      <c r="C36" s="37">
        <f>SUM(C11:C35)</f>
        <v>0</v>
      </c>
      <c r="D36" s="37">
        <f>SUM(D11:D35)</f>
        <v>0</v>
      </c>
      <c r="E36" s="37">
        <f>SUM(E11:E35)</f>
        <v>0</v>
      </c>
      <c r="F36" s="37">
        <f>SUM(F11:F35)</f>
        <v>0</v>
      </c>
      <c r="G36" s="37">
        <f>SUM(G11:G35)</f>
        <v>0</v>
      </c>
      <c r="H36" s="32" t="e">
        <f>+G36/C36</f>
        <v>#DIV/0!</v>
      </c>
      <c r="I36" s="37">
        <f>SUM(I11:I35)</f>
        <v>0</v>
      </c>
      <c r="J36" s="37">
        <f>SUM(J11:J35)</f>
        <v>0</v>
      </c>
    </row>
    <row r="37" ht="12" customHeight="1" spans="1:11">
      <c r="B37" s="38"/>
    </row>
    <row r="38" ht="12" customHeight="1" spans="1:11">
      <c r="B38" s="38"/>
    </row>
    <row r="39" ht="12" customHeight="1" spans="1:11">
      <c r="B39" s="38" t="s">
        <v>70</v>
      </c>
    </row>
    <row r="40" ht="12" customHeight="1" spans="1:11">
      <c r="A40" s="17" t="s">
        <v>49</v>
      </c>
      <c r="B40" s="17" t="s">
        <v>50</v>
      </c>
      <c r="C40" s="17" t="s">
        <v>51</v>
      </c>
      <c r="D40" s="17" t="s">
        <v>52</v>
      </c>
      <c r="E40" s="17" t="s">
        <v>53</v>
      </c>
      <c r="F40" s="17" t="s">
        <v>54</v>
      </c>
      <c r="G40" s="17" t="s">
        <v>55</v>
      </c>
      <c r="H40" s="18" t="s">
        <v>56</v>
      </c>
      <c r="I40" s="17" t="s">
        <v>57</v>
      </c>
      <c r="J40" s="19" t="s">
        <v>58</v>
      </c>
    </row>
    <row r="41" customHeight="1" spans="1:11">
      <c r="A41" s="20" t="s">
        <v>59</v>
      </c>
      <c r="B41" s="21" t="s">
        <v>60</v>
      </c>
      <c r="C41" s="20" t="s">
        <v>61</v>
      </c>
      <c r="D41" s="17" t="s">
        <v>62</v>
      </c>
      <c r="E41" s="17"/>
      <c r="F41" s="22" t="s">
        <v>63</v>
      </c>
      <c r="G41" s="23" t="s">
        <v>64</v>
      </c>
      <c r="H41" s="20" t="s">
        <v>65</v>
      </c>
      <c r="I41" s="22" t="s">
        <v>66</v>
      </c>
      <c r="J41" s="21" t="s">
        <v>67</v>
      </c>
    </row>
    <row r="42" ht="14.25" customHeight="1" spans="1:11">
      <c r="A42" s="20"/>
      <c r="B42" s="20"/>
      <c r="C42" s="20"/>
      <c r="D42" s="22" t="s">
        <v>68</v>
      </c>
      <c r="E42" s="20" t="s">
        <v>69</v>
      </c>
      <c r="F42" s="22"/>
      <c r="G42" s="22"/>
      <c r="H42" s="22"/>
      <c r="I42" s="22"/>
      <c r="J42" s="22"/>
    </row>
    <row r="43" ht="12" customHeight="1" spans="1:11">
      <c r="A43" s="20"/>
      <c r="B43" s="20"/>
      <c r="C43" s="20"/>
      <c r="D43" s="20"/>
      <c r="E43" s="20"/>
      <c r="F43" s="20"/>
      <c r="G43" s="20"/>
      <c r="H43" s="20"/>
      <c r="I43" s="20"/>
      <c r="J43" s="20"/>
    </row>
    <row r="44" ht="12" customHeight="1" spans="1:11">
      <c r="A44" s="20"/>
      <c r="B44" s="20"/>
      <c r="C44" s="20"/>
      <c r="D44" s="20"/>
      <c r="E44" s="20"/>
      <c r="F44" s="20"/>
      <c r="G44" s="20"/>
      <c r="H44" s="20"/>
      <c r="I44" s="20"/>
      <c r="J44" s="20"/>
    </row>
    <row r="45" ht="24" customHeight="1" spans="1:11">
      <c r="A45" s="25">
        <v>1</v>
      </c>
      <c r="B45" s="39"/>
      <c r="C45" s="40"/>
      <c r="D45" s="28"/>
      <c r="E45" s="29"/>
      <c r="F45" s="30"/>
      <c r="G45" s="31">
        <f t="shared" ref="G45" si="8">+D45+E45+F45</f>
        <v>0</v>
      </c>
      <c r="H45" s="32" t="e">
        <f t="shared" ref="H45" si="9">+G45/C45</f>
        <v>#DIV/0!</v>
      </c>
      <c r="I45" s="31">
        <f t="shared" ref="I45" si="10">+C45-G45</f>
        <v>0</v>
      </c>
      <c r="J45" s="31">
        <f>SUM(G45)*'G702'!$G$22</f>
        <v>0</v>
      </c>
    </row>
    <row r="46" ht="15.95" customHeight="1" spans="1:11">
      <c r="A46" s="25">
        <f t="shared" ref="A46:A53" si="11">A45+1</f>
        <v>2</v>
      </c>
      <c r="B46" s="39"/>
      <c r="C46" s="27"/>
      <c r="D46" s="28"/>
      <c r="E46" s="29"/>
      <c r="F46" s="30"/>
      <c r="G46" s="31">
        <f t="shared" ref="G46:G61" si="12">+D46+E46+F46</f>
        <v>0</v>
      </c>
      <c r="H46" s="32" t="e">
        <f t="shared" ref="H46:H62" si="13">+G46/C46</f>
        <v>#DIV/0!</v>
      </c>
      <c r="I46" s="31">
        <f t="shared" ref="I46:I62" si="14">+C46-G46</f>
        <v>0</v>
      </c>
      <c r="J46" s="31">
        <f>SUM(G46)*'G702'!$G$22</f>
        <v>0</v>
      </c>
    </row>
    <row r="47" ht="15.95" customHeight="1" spans="1:11">
      <c r="A47" s="25">
        <f t="shared" si="11"/>
        <v>3</v>
      </c>
      <c r="B47" s="39"/>
      <c r="C47" s="27"/>
      <c r="D47" s="28"/>
      <c r="E47" s="29"/>
      <c r="F47" s="30"/>
      <c r="G47" s="31">
        <f t="shared" si="12"/>
        <v>0</v>
      </c>
      <c r="H47" s="32" t="e">
        <f t="shared" si="13"/>
        <v>#DIV/0!</v>
      </c>
      <c r="I47" s="31">
        <f t="shared" si="14"/>
        <v>0</v>
      </c>
      <c r="J47" s="31">
        <f>SUM(G47)*'G702'!$G$22</f>
        <v>0</v>
      </c>
    </row>
    <row r="48" ht="15.95" customHeight="1" spans="1:11">
      <c r="A48" s="25">
        <f t="shared" si="11"/>
        <v>4</v>
      </c>
      <c r="B48" s="41"/>
      <c r="C48" s="27"/>
      <c r="D48" s="28"/>
      <c r="E48" s="29"/>
      <c r="F48" s="30"/>
      <c r="G48" s="31">
        <f t="shared" si="12"/>
        <v>0</v>
      </c>
      <c r="H48" s="32" t="e">
        <f t="shared" si="13"/>
        <v>#DIV/0!</v>
      </c>
      <c r="I48" s="31">
        <f t="shared" si="14"/>
        <v>0</v>
      </c>
      <c r="J48" s="31">
        <f>SUM(G48)*'G702'!$G$22</f>
        <v>0</v>
      </c>
    </row>
    <row r="49" ht="15.95" customHeight="1" spans="1:10">
      <c r="A49" s="25">
        <f t="shared" si="11"/>
        <v>5</v>
      </c>
      <c r="B49" s="41"/>
      <c r="C49" s="27"/>
      <c r="D49" s="28"/>
      <c r="E49" s="29"/>
      <c r="F49" s="30"/>
      <c r="G49" s="31">
        <f t="shared" ref="G49:G50" si="15">+D49+E49+F49</f>
        <v>0</v>
      </c>
      <c r="H49" s="32" t="e">
        <f t="shared" ref="H49" si="16">+G49/C49</f>
        <v>#DIV/0!</v>
      </c>
      <c r="I49" s="31">
        <f t="shared" ref="I49" si="17">+C49-G49</f>
        <v>0</v>
      </c>
      <c r="J49" s="31">
        <f>SUM(G49)*'G702'!$G$22</f>
        <v>0</v>
      </c>
    </row>
    <row r="50" ht="15.95" customHeight="1" spans="1:10">
      <c r="A50" s="25">
        <f t="shared" si="11"/>
        <v>6</v>
      </c>
      <c r="B50" s="41"/>
      <c r="C50" s="27"/>
      <c r="D50" s="28"/>
      <c r="E50" s="29"/>
      <c r="F50" s="30"/>
      <c r="G50" s="31">
        <f t="shared" si="15"/>
        <v>0</v>
      </c>
      <c r="H50" s="32" t="e">
        <f t="shared" si="13"/>
        <v>#DIV/0!</v>
      </c>
      <c r="I50" s="31">
        <f t="shared" si="14"/>
        <v>0</v>
      </c>
      <c r="J50" s="31">
        <f>SUM(D50:E50)*'G702'!$G$22</f>
        <v>0</v>
      </c>
    </row>
    <row r="51" ht="15.95" customHeight="1" spans="1:10">
      <c r="A51" s="25">
        <f t="shared" si="11"/>
        <v>7</v>
      </c>
      <c r="B51" s="41"/>
      <c r="C51" s="27"/>
      <c r="D51" s="28"/>
      <c r="E51" s="29"/>
      <c r="F51" s="30"/>
      <c r="G51" s="31">
        <f t="shared" si="12"/>
        <v>0</v>
      </c>
      <c r="H51" s="32" t="e">
        <f t="shared" si="13"/>
        <v>#DIV/0!</v>
      </c>
      <c r="I51" s="31">
        <f t="shared" si="14"/>
        <v>0</v>
      </c>
      <c r="J51" s="31">
        <f>SUM(D51:E51)*'G702'!$G$22</f>
        <v>0</v>
      </c>
    </row>
    <row r="52" ht="15.95" customHeight="1" spans="1:10">
      <c r="A52" s="25">
        <f t="shared" si="11"/>
        <v>8</v>
      </c>
      <c r="B52" s="41"/>
      <c r="C52" s="27"/>
      <c r="D52" s="28"/>
      <c r="E52" s="29"/>
      <c r="F52" s="30"/>
      <c r="G52" s="31">
        <f t="shared" si="12"/>
        <v>0</v>
      </c>
      <c r="H52" s="32" t="e">
        <f t="shared" si="13"/>
        <v>#DIV/0!</v>
      </c>
      <c r="I52" s="31">
        <f t="shared" si="14"/>
        <v>0</v>
      </c>
      <c r="J52" s="31">
        <f>SUM(D52:E52)*'G702'!$G$22</f>
        <v>0</v>
      </c>
    </row>
    <row r="53" ht="15.95" customHeight="1" spans="1:10">
      <c r="A53" s="25">
        <f t="shared" si="11"/>
        <v>9</v>
      </c>
      <c r="B53" s="41"/>
      <c r="C53" s="27"/>
      <c r="D53" s="28"/>
      <c r="E53" s="29"/>
      <c r="F53" s="30"/>
      <c r="G53" s="31">
        <f t="shared" si="12"/>
        <v>0</v>
      </c>
      <c r="H53" s="32" t="e">
        <f t="shared" si="13"/>
        <v>#DIV/0!</v>
      </c>
      <c r="I53" s="31">
        <f t="shared" si="14"/>
        <v>0</v>
      </c>
      <c r="J53" s="31">
        <f>SUM(D53:E53)*'G702'!$G$22</f>
        <v>0</v>
      </c>
    </row>
    <row r="54" ht="15.95" customHeight="1" spans="1:10">
      <c r="A54" s="25">
        <v>10</v>
      </c>
      <c r="B54" s="41"/>
      <c r="C54" s="27"/>
      <c r="D54" s="28"/>
      <c r="E54" s="29"/>
      <c r="F54" s="30"/>
      <c r="G54" s="31">
        <f t="shared" si="12"/>
        <v>0</v>
      </c>
      <c r="H54" s="32" t="e">
        <f t="shared" si="13"/>
        <v>#DIV/0!</v>
      </c>
      <c r="I54" s="31">
        <f t="shared" si="14"/>
        <v>0</v>
      </c>
      <c r="J54" s="31">
        <f>SUM(D54:E54)*'G702'!$G$22</f>
        <v>0</v>
      </c>
    </row>
    <row r="55" ht="15.95" customHeight="1" spans="1:10">
      <c r="A55" s="25">
        <v>11</v>
      </c>
      <c r="B55" s="41"/>
      <c r="C55" s="27"/>
      <c r="D55" s="28"/>
      <c r="E55" s="29"/>
      <c r="F55" s="30"/>
      <c r="G55" s="31">
        <f t="shared" si="12"/>
        <v>0</v>
      </c>
      <c r="H55" s="32" t="e">
        <f t="shared" si="13"/>
        <v>#DIV/0!</v>
      </c>
      <c r="I55" s="31">
        <f t="shared" si="14"/>
        <v>0</v>
      </c>
      <c r="J55" s="31">
        <f>SUM(D55:E55)*'G702'!$G$22</f>
        <v>0</v>
      </c>
    </row>
    <row r="56" ht="15.95" customHeight="1" spans="1:10">
      <c r="A56" s="25">
        <v>12</v>
      </c>
      <c r="B56" s="41"/>
      <c r="C56" s="27"/>
      <c r="D56" s="28"/>
      <c r="E56" s="29"/>
      <c r="F56" s="30"/>
      <c r="G56" s="31">
        <f t="shared" si="12"/>
        <v>0</v>
      </c>
      <c r="H56" s="32" t="e">
        <f t="shared" si="13"/>
        <v>#DIV/0!</v>
      </c>
      <c r="I56" s="31">
        <f t="shared" si="14"/>
        <v>0</v>
      </c>
      <c r="J56" s="31">
        <f>SUM(D56:E56)*'G702'!$G$22</f>
        <v>0</v>
      </c>
    </row>
    <row r="57" ht="15.95" customHeight="1" spans="1:10">
      <c r="A57" s="25">
        <v>13</v>
      </c>
      <c r="B57" s="41"/>
      <c r="C57" s="27"/>
      <c r="D57" s="28"/>
      <c r="E57" s="29"/>
      <c r="F57" s="30"/>
      <c r="G57" s="31">
        <f t="shared" si="12"/>
        <v>0</v>
      </c>
      <c r="H57" s="32" t="e">
        <f t="shared" si="13"/>
        <v>#DIV/0!</v>
      </c>
      <c r="I57" s="31">
        <f t="shared" si="14"/>
        <v>0</v>
      </c>
      <c r="J57" s="31">
        <f>SUM(D57:E57)*'G702'!$G$22</f>
        <v>0</v>
      </c>
    </row>
    <row r="58" ht="15.95" customHeight="1" spans="1:10">
      <c r="A58" s="25">
        <v>14</v>
      </c>
      <c r="B58" s="41"/>
      <c r="C58" s="27"/>
      <c r="D58" s="28"/>
      <c r="E58" s="29"/>
      <c r="F58" s="30"/>
      <c r="G58" s="31">
        <f t="shared" si="12"/>
        <v>0</v>
      </c>
      <c r="H58" s="32" t="e">
        <f t="shared" si="13"/>
        <v>#DIV/0!</v>
      </c>
      <c r="I58" s="31">
        <f t="shared" si="14"/>
        <v>0</v>
      </c>
      <c r="J58" s="31">
        <f>SUM(D58:E58)*'G702'!$G$22</f>
        <v>0</v>
      </c>
    </row>
    <row r="59" ht="15.95" customHeight="1" spans="1:10">
      <c r="A59" s="25">
        <v>15</v>
      </c>
      <c r="B59" s="41"/>
      <c r="C59" s="27"/>
      <c r="D59" s="28"/>
      <c r="E59" s="29"/>
      <c r="F59" s="30"/>
      <c r="G59" s="31">
        <f t="shared" si="12"/>
        <v>0</v>
      </c>
      <c r="H59" s="32" t="e">
        <f t="shared" si="13"/>
        <v>#DIV/0!</v>
      </c>
      <c r="I59" s="31">
        <f t="shared" si="14"/>
        <v>0</v>
      </c>
      <c r="J59" s="31">
        <f>SUM(D59:E59)*'G702'!$G$22</f>
        <v>0</v>
      </c>
    </row>
    <row r="60" ht="15.95" customHeight="1" spans="1:10">
      <c r="A60" s="25">
        <v>16</v>
      </c>
      <c r="B60" s="41"/>
      <c r="C60" s="27"/>
      <c r="D60" s="28"/>
      <c r="E60" s="29"/>
      <c r="F60" s="30"/>
      <c r="G60" s="31">
        <f t="shared" si="12"/>
        <v>0</v>
      </c>
      <c r="H60" s="32" t="e">
        <f t="shared" si="13"/>
        <v>#DIV/0!</v>
      </c>
      <c r="I60" s="31">
        <f t="shared" si="14"/>
        <v>0</v>
      </c>
      <c r="J60" s="31">
        <f>SUM(D60:E60)*'G702'!$G$22</f>
        <v>0</v>
      </c>
    </row>
    <row r="61" ht="15.95" customHeight="1" spans="1:10">
      <c r="A61" s="25">
        <v>17</v>
      </c>
      <c r="B61" s="42"/>
      <c r="C61" s="27"/>
      <c r="D61" s="28"/>
      <c r="E61" s="29"/>
      <c r="F61" s="30"/>
      <c r="G61" s="31">
        <f t="shared" si="12"/>
        <v>0</v>
      </c>
      <c r="H61" s="32" t="e">
        <f t="shared" si="13"/>
        <v>#DIV/0!</v>
      </c>
      <c r="I61" s="31">
        <f t="shared" si="14"/>
        <v>0</v>
      </c>
      <c r="J61" s="31">
        <f>SUM(D61:E61)*'G702'!$G$22</f>
        <v>0</v>
      </c>
    </row>
    <row r="62" ht="19.5" customHeight="1" spans="1:10">
      <c r="A62" s="35"/>
      <c r="B62" s="36" t="s">
        <v>35</v>
      </c>
      <c r="C62" s="37">
        <f>SUM(C45:C61)</f>
        <v>0</v>
      </c>
      <c r="D62" s="43">
        <f>SUM(D45:D61)</f>
        <v>0</v>
      </c>
      <c r="E62" s="43">
        <f>SUM(E45:E61)</f>
        <v>0</v>
      </c>
      <c r="F62" s="43">
        <f>SUM(F45:F61)</f>
        <v>0</v>
      </c>
      <c r="G62" s="44">
        <f>SUM(D62+E62+F62)</f>
        <v>0</v>
      </c>
      <c r="H62" s="45" t="e">
        <f t="shared" si="13"/>
        <v>#DIV/0!</v>
      </c>
      <c r="I62" s="44">
        <f t="shared" si="14"/>
        <v>0</v>
      </c>
      <c r="J62" s="46">
        <f>SUM(J45:J61)</f>
        <v>0</v>
      </c>
    </row>
    <row r="63" ht="12" customHeight="1" spans="1:10">
      <c r="B63" s="47"/>
      <c r="C63" s="48">
        <f>C36+C62</f>
        <v>0</v>
      </c>
      <c r="D63" s="48">
        <f>D36+D62</f>
        <v>0</v>
      </c>
      <c r="E63" s="48">
        <f>E36+E62</f>
        <v>0</v>
      </c>
      <c r="F63" s="48">
        <f>F36+F62</f>
        <v>0</v>
      </c>
      <c r="G63" s="48">
        <f>G36+G62</f>
        <v>0</v>
      </c>
      <c r="H63" s="49" t="e">
        <f>G63/C63</f>
        <v>#DIV/0!</v>
      </c>
      <c r="I63" s="48">
        <f>I36+I62</f>
        <v>0</v>
      </c>
      <c r="J63" s="50">
        <f>J36+J62</f>
        <v>0</v>
      </c>
    </row>
    <row r="64" ht="12" customHeight="1" spans="1:10">
      <c r="B64" s="51"/>
    </row>
    <row r="65" ht="12" customHeight="1" spans="2:2">
      <c r="B65" s="51"/>
    </row>
    <row r="66" ht="12" customHeight="1" spans="2:2">
      <c r="B66" s="51"/>
    </row>
    <row r="67" ht="12" customHeight="1" spans="2:2">
      <c r="B67" s="51"/>
    </row>
    <row r="68" ht="12" customHeight="1" spans="2:2">
      <c r="B68" s="51"/>
    </row>
    <row r="69" ht="12" customHeight="1" spans="2:2">
      <c r="B69" s="51"/>
    </row>
    <row r="70" ht="12" customHeight="1" spans="2:2">
      <c r="B70" s="51"/>
    </row>
    <row r="71" ht="12" customHeight="1" spans="2:2">
      <c r="B71" s="51"/>
    </row>
    <row r="72" ht="12" customHeight="1" spans="2:2">
      <c r="B72" s="51"/>
    </row>
    <row r="73" ht="12" customHeight="1" spans="2:2">
      <c r="B73" s="51"/>
    </row>
    <row r="74" ht="12" customHeight="1" spans="2:2">
      <c r="B74" s="51"/>
    </row>
    <row r="75" ht="12" customHeight="1" spans="2:2">
      <c r="B75" s="51"/>
    </row>
    <row r="76" ht="12" customHeight="1" spans="2:2">
      <c r="B76" s="51"/>
    </row>
    <row r="77" ht="12" customHeight="1" spans="2:2">
      <c r="B77" s="51"/>
    </row>
    <row r="78" ht="12" customHeight="1" spans="2:2">
      <c r="B78" s="51"/>
    </row>
    <row r="79" ht="12" customHeight="1" spans="2:2">
      <c r="B79" s="51"/>
    </row>
    <row r="80" ht="12" customHeight="1" spans="2:2">
      <c r="B80" s="51"/>
    </row>
    <row r="81" ht="12" customHeight="1" spans="2:2">
      <c r="B81" s="51"/>
    </row>
    <row r="82" ht="12" customHeight="1" spans="2:2">
      <c r="B82" s="51"/>
    </row>
    <row r="83" ht="12" customHeight="1" spans="2:2">
      <c r="B83" s="51"/>
    </row>
    <row r="84" ht="12" customHeight="1" spans="2:2">
      <c r="B84" s="51"/>
    </row>
    <row r="85" ht="12" customHeight="1" spans="2:2">
      <c r="B85" s="51"/>
    </row>
    <row r="86" ht="12" customHeight="1" spans="2:2">
      <c r="B86" s="51"/>
    </row>
    <row r="87" ht="12" customHeight="1" spans="2:2">
      <c r="B87" s="51"/>
    </row>
    <row r="88" ht="12" customHeight="1" spans="2:2">
      <c r="B88" s="51"/>
    </row>
    <row r="89" ht="12" customHeight="1" spans="2:2">
      <c r="B89" s="51"/>
    </row>
    <row r="90" ht="12" customHeight="1" spans="2:2">
      <c r="B90" s="51"/>
    </row>
    <row r="91" ht="12" customHeight="1" spans="2:2">
      <c r="B91" s="51"/>
    </row>
    <row r="92" ht="12" customHeight="1" spans="2:2">
      <c r="B92" s="51"/>
    </row>
    <row r="93" ht="12" customHeight="1" spans="2:2">
      <c r="B93" s="51"/>
    </row>
    <row r="94" ht="12" customHeight="1" spans="2:2">
      <c r="B94" s="51"/>
    </row>
    <row r="95" ht="12" customHeight="1" spans="2:2">
      <c r="B95" s="51"/>
    </row>
    <row r="96" ht="12" customHeight="1" spans="2:2">
      <c r="B96" s="51"/>
    </row>
    <row r="97" ht="12" customHeight="1" spans="2:2">
      <c r="B97" s="51"/>
    </row>
    <row r="98" ht="12" customHeight="1" spans="2:2">
      <c r="B98" s="51"/>
    </row>
    <row r="99" ht="12" customHeight="1" spans="2:2">
      <c r="B99" s="51"/>
    </row>
    <row r="100" ht="12" customHeight="1" spans="2:2">
      <c r="B100" s="51"/>
    </row>
    <row r="101" ht="12" customHeight="1" spans="2:2">
      <c r="B101" s="51"/>
    </row>
    <row r="102" ht="12" customHeight="1" spans="2:2">
      <c r="B102" s="51"/>
    </row>
    <row r="103" ht="12" customHeight="1" spans="2:2">
      <c r="B103" s="51"/>
    </row>
    <row r="104" ht="12" customHeight="1" spans="2:2">
      <c r="B104" s="51"/>
    </row>
    <row r="105" ht="12" customHeight="1" spans="2:2">
      <c r="B105" s="51"/>
    </row>
    <row r="106" ht="12" customHeight="1" spans="2:2">
      <c r="B106" s="51"/>
    </row>
    <row r="107" ht="12" customHeight="1" spans="2:2">
      <c r="B107" s="51"/>
    </row>
    <row r="108" ht="12" customHeight="1" spans="2:2">
      <c r="B108" s="51"/>
    </row>
    <row r="109" ht="12" customHeight="1" spans="2:2">
      <c r="B109" s="51"/>
    </row>
    <row r="110" ht="12" customHeight="1" spans="2:2">
      <c r="B110" s="51"/>
    </row>
    <row r="111" ht="12" customHeight="1" spans="2:2">
      <c r="B111" s="51"/>
    </row>
    <row r="112" ht="12" customHeight="1" spans="2:2">
      <c r="B112" s="51"/>
    </row>
    <row r="113" ht="12" customHeight="1" spans="2:2">
      <c r="B113" s="51"/>
    </row>
    <row r="114" ht="12" customHeight="1" spans="2:2">
      <c r="B114" s="51"/>
    </row>
    <row r="115" ht="12" customHeight="1" spans="2:2">
      <c r="B115" s="51"/>
    </row>
    <row r="116" ht="12" customHeight="1" spans="2:2">
      <c r="B116" s="51"/>
    </row>
    <row r="117" ht="12" customHeight="1" spans="2:2">
      <c r="B117" s="51"/>
    </row>
    <row r="118" ht="12" customHeight="1" spans="2:2">
      <c r="B118" s="51"/>
    </row>
    <row r="119" ht="12" customHeight="1" spans="2:2">
      <c r="B119" s="51"/>
    </row>
    <row r="120" ht="12" customHeight="1" spans="2:2">
      <c r="B120" s="51"/>
    </row>
    <row r="121" ht="12" customHeight="1" spans="2:2">
      <c r="B121" s="51"/>
    </row>
    <row r="122" ht="12" customHeight="1" spans="2:2">
      <c r="B122" s="51"/>
    </row>
    <row r="123" ht="12" customHeight="1" spans="2:2">
      <c r="B123" s="51"/>
    </row>
    <row r="124" ht="12" customHeight="1" spans="2:2">
      <c r="B124" s="51"/>
    </row>
    <row r="125" ht="12" customHeight="1" spans="2:2">
      <c r="B125" s="51"/>
    </row>
    <row r="126" ht="12" customHeight="1" spans="2:2">
      <c r="B126" s="51"/>
    </row>
    <row r="127" ht="12" customHeight="1" spans="2:2">
      <c r="B127" s="51"/>
    </row>
    <row r="128" ht="12" customHeight="1" spans="2:2">
      <c r="B128" s="51"/>
    </row>
    <row r="129" ht="12" customHeight="1" spans="2:2">
      <c r="B129" s="51"/>
    </row>
    <row r="130" ht="12" customHeight="1" spans="2:2">
      <c r="B130" s="51"/>
    </row>
    <row r="131" ht="12" customHeight="1" spans="2:2">
      <c r="B131" s="51"/>
    </row>
    <row r="132" ht="12" customHeight="1" spans="2:2">
      <c r="B132" s="51"/>
    </row>
    <row r="133" ht="12" customHeight="1" spans="2:2">
      <c r="B133" s="51"/>
    </row>
    <row r="134" ht="12" customHeight="1" spans="2:2">
      <c r="B134" s="51"/>
    </row>
    <row r="135" ht="12" customHeight="1" spans="2:2">
      <c r="B135" s="51"/>
    </row>
    <row r="136" ht="12" customHeight="1" spans="2:2">
      <c r="B136" s="51"/>
    </row>
    <row r="137" ht="12" customHeight="1" spans="2:2">
      <c r="B137" s="51"/>
    </row>
    <row r="138" ht="12" customHeight="1" spans="2:2">
      <c r="B138" s="51"/>
    </row>
    <row r="139" ht="12" customHeight="1" spans="2:2">
      <c r="B139" s="51"/>
    </row>
    <row r="140" ht="12" customHeight="1" spans="2:2">
      <c r="B140" s="51"/>
    </row>
    <row r="141" ht="12" customHeight="1" spans="2:2">
      <c r="B141" s="51"/>
    </row>
    <row r="142" ht="12" customHeight="1" spans="2:2">
      <c r="B142" s="51"/>
    </row>
    <row r="143" ht="12" customHeight="1" spans="2:2">
      <c r="B143" s="51"/>
    </row>
    <row r="144" ht="12" customHeight="1" spans="2:2">
      <c r="B144" s="51"/>
    </row>
    <row r="145" ht="12" customHeight="1" spans="2:2">
      <c r="B145" s="51"/>
    </row>
    <row r="146" ht="12" customHeight="1" spans="2:2">
      <c r="B146" s="51"/>
    </row>
    <row r="147" ht="12" customHeight="1" spans="2:2">
      <c r="B147" s="51"/>
    </row>
    <row r="148" ht="12" customHeight="1" spans="2:2">
      <c r="B148" s="51"/>
    </row>
    <row r="149" ht="12" customHeight="1" spans="2:2">
      <c r="B149" s="51"/>
    </row>
    <row r="150" ht="12" customHeight="1" spans="2:2">
      <c r="B150" s="51"/>
    </row>
    <row r="151" ht="12" customHeight="1" spans="2:2">
      <c r="B151" s="51"/>
    </row>
    <row r="152" ht="12" customHeight="1" spans="2:2">
      <c r="B152" s="51"/>
    </row>
    <row r="153" ht="12" customHeight="1" spans="2:2">
      <c r="B153" s="51"/>
    </row>
    <row r="154" ht="12" customHeight="1" spans="2:2">
      <c r="B154" s="51"/>
    </row>
    <row r="155" ht="12" customHeight="1" spans="2:2">
      <c r="B155" s="51"/>
    </row>
    <row r="156" ht="12" customHeight="1" spans="2:2">
      <c r="B156" s="51"/>
    </row>
    <row r="157" ht="12" customHeight="1" spans="2:2">
      <c r="B157" s="51"/>
    </row>
    <row r="158" ht="12" customHeight="1" spans="2:2">
      <c r="B158" s="51"/>
    </row>
    <row r="159" ht="12" customHeight="1" spans="2:2">
      <c r="B159" s="51"/>
    </row>
    <row r="160" ht="12" customHeight="1" spans="2:2">
      <c r="B160" s="51"/>
    </row>
    <row r="161" ht="12" customHeight="1" spans="2:2">
      <c r="B161" s="51"/>
    </row>
    <row r="162" ht="12" customHeight="1" spans="2:2">
      <c r="B162" s="51"/>
    </row>
    <row r="163" ht="12" customHeight="1" spans="2:2">
      <c r="B163" s="51"/>
    </row>
    <row r="164" ht="12" customHeight="1" spans="2:2">
      <c r="B164" s="51"/>
    </row>
    <row r="165" ht="12" customHeight="1" spans="2:2">
      <c r="B165" s="51"/>
    </row>
    <row r="166" ht="12" customHeight="1" spans="2:2">
      <c r="B166" s="51"/>
    </row>
    <row r="167" ht="12" customHeight="1" spans="2:2">
      <c r="B167" s="51"/>
    </row>
    <row r="168" ht="12" customHeight="1" spans="2:2">
      <c r="B168" s="51"/>
    </row>
    <row r="169" ht="12" customHeight="1" spans="2:2">
      <c r="B169" s="51"/>
    </row>
    <row r="170" ht="12" customHeight="1" spans="2:2">
      <c r="B170" s="51"/>
    </row>
    <row r="171" ht="12" customHeight="1" spans="2:2">
      <c r="B171" s="51"/>
    </row>
    <row r="172" ht="12" customHeight="1" spans="2:2">
      <c r="B172" s="51"/>
    </row>
    <row r="173" ht="12" customHeight="1" spans="2:2">
      <c r="B173" s="51"/>
    </row>
    <row r="174" ht="12" customHeight="1" spans="2:2">
      <c r="B174" s="51"/>
    </row>
    <row r="175" ht="12" customHeight="1" spans="2:2">
      <c r="B175" s="51"/>
    </row>
    <row r="176" ht="12" customHeight="1" spans="2:2">
      <c r="B176" s="51"/>
    </row>
    <row r="177" ht="12" customHeight="1" spans="2:2">
      <c r="B177" s="51"/>
    </row>
    <row r="178" ht="12" customHeight="1" spans="2:2">
      <c r="B178" s="51"/>
    </row>
    <row r="179" ht="12" customHeight="1" spans="2:2">
      <c r="B179" s="51"/>
    </row>
    <row r="180" ht="12" customHeight="1" spans="2:2">
      <c r="B180" s="51"/>
    </row>
    <row r="181" ht="12" customHeight="1" spans="2:2">
      <c r="B181" s="51"/>
    </row>
    <row r="182" ht="12" customHeight="1" spans="2:2">
      <c r="B182" s="51"/>
    </row>
    <row r="183" ht="12" customHeight="1" spans="2:2">
      <c r="B183" s="51"/>
    </row>
    <row r="184" ht="12" customHeight="1" spans="2:2">
      <c r="B184" s="51"/>
    </row>
    <row r="185" ht="12" customHeight="1" spans="2:2">
      <c r="B185" s="51"/>
    </row>
    <row r="186" ht="12" customHeight="1" spans="2:2">
      <c r="B186" s="51"/>
    </row>
    <row r="187" ht="12" customHeight="1" spans="2:2">
      <c r="B187" s="51"/>
    </row>
    <row r="188" ht="12" customHeight="1" spans="2:2">
      <c r="B188" s="51"/>
    </row>
    <row r="189" ht="12" customHeight="1" spans="2:2">
      <c r="B189" s="51"/>
    </row>
    <row r="190" ht="12" customHeight="1" spans="2:2">
      <c r="B190" s="51"/>
    </row>
    <row r="191" ht="12" customHeight="1" spans="2:2">
      <c r="B191" s="51"/>
    </row>
    <row r="192" ht="12" customHeight="1" spans="2:2">
      <c r="B192" s="51"/>
    </row>
    <row r="193" ht="12" customHeight="1" spans="2:2">
      <c r="B193" s="51"/>
    </row>
    <row r="194" ht="12" customHeight="1" spans="2:2">
      <c r="B194" s="51"/>
    </row>
    <row r="195" ht="12" customHeight="1" spans="2:2">
      <c r="B195" s="51"/>
    </row>
    <row r="196" ht="12" customHeight="1" spans="2:2">
      <c r="B196" s="51"/>
    </row>
    <row r="197" ht="12" customHeight="1" spans="2:2">
      <c r="B197" s="51"/>
    </row>
    <row r="198" ht="12" customHeight="1" spans="2:2">
      <c r="B198" s="51"/>
    </row>
    <row r="199" ht="12" customHeight="1" spans="2:2">
      <c r="B199" s="51"/>
    </row>
    <row r="200" ht="12" customHeight="1" spans="2:2">
      <c r="B200" s="51"/>
    </row>
    <row r="201" ht="12" customHeight="1" spans="2:2">
      <c r="B201" s="51"/>
    </row>
    <row r="202" ht="12" customHeight="1" spans="2:2">
      <c r="B202" s="51"/>
    </row>
    <row r="203" ht="12" customHeight="1" spans="2:2">
      <c r="B203" s="51"/>
    </row>
    <row r="204" ht="12" customHeight="1" spans="2:2">
      <c r="B204" s="51"/>
    </row>
    <row r="205" ht="12" customHeight="1" spans="2:2">
      <c r="B205" s="51"/>
    </row>
    <row r="206" ht="12" customHeight="1" spans="2:2">
      <c r="B206" s="51"/>
    </row>
    <row r="207" ht="12" customHeight="1" spans="2:2">
      <c r="B207" s="51"/>
    </row>
    <row r="208" ht="12" customHeight="1" spans="2:2">
      <c r="B208" s="51"/>
    </row>
    <row r="209" ht="12" customHeight="1" spans="2:2">
      <c r="B209" s="51"/>
    </row>
    <row r="210" ht="12" customHeight="1" spans="2:2">
      <c r="B210" s="51"/>
    </row>
    <row r="211" ht="12" customHeight="1" spans="2:2">
      <c r="B211" s="51"/>
    </row>
    <row r="212" ht="12" customHeight="1" spans="2:2">
      <c r="B212" s="51"/>
    </row>
    <row r="213" ht="12" customHeight="1" spans="2:2">
      <c r="B213" s="51"/>
    </row>
    <row r="214" ht="12" customHeight="1" spans="2:2">
      <c r="B214" s="51"/>
    </row>
    <row r="215" ht="12" customHeight="1" spans="2:2">
      <c r="B215" s="51"/>
    </row>
    <row r="216" ht="12" customHeight="1" spans="2:2">
      <c r="B216" s="51"/>
    </row>
    <row r="217" ht="12" customHeight="1" spans="2:2">
      <c r="B217" s="51"/>
    </row>
    <row r="218" ht="12" customHeight="1" spans="2:2">
      <c r="B218" s="51"/>
    </row>
    <row r="219" ht="12" customHeight="1" spans="2:2">
      <c r="B219" s="51"/>
    </row>
    <row r="220" ht="12" customHeight="1" spans="2:2">
      <c r="B220" s="51"/>
    </row>
    <row r="221" ht="12" customHeight="1" spans="2:2">
      <c r="B221" s="51"/>
    </row>
    <row r="222" ht="12" customHeight="1" spans="2:2">
      <c r="B222" s="51"/>
    </row>
    <row r="223" ht="12" customHeight="1" spans="2:2">
      <c r="B223" s="51"/>
    </row>
    <row r="224" ht="12" customHeight="1" spans="2:2">
      <c r="B224" s="51"/>
    </row>
    <row r="225" ht="12" customHeight="1" spans="2:2">
      <c r="B225" s="51"/>
    </row>
    <row r="226" ht="12" customHeight="1" spans="2:2">
      <c r="B226" s="51"/>
    </row>
    <row r="227" ht="12" customHeight="1" spans="2:2">
      <c r="B227" s="51"/>
    </row>
    <row r="228" ht="12" customHeight="1" spans="2:2">
      <c r="B228" s="51"/>
    </row>
    <row r="229" ht="12" customHeight="1" spans="2:2">
      <c r="B229" s="51"/>
    </row>
    <row r="230" ht="12" customHeight="1" spans="2:2">
      <c r="B230" s="51"/>
    </row>
    <row r="231" ht="12" customHeight="1" spans="2:2">
      <c r="B231" s="51"/>
    </row>
    <row r="232" ht="12" customHeight="1" spans="2:2">
      <c r="B232" s="51"/>
    </row>
    <row r="233" ht="12" customHeight="1" spans="2:2">
      <c r="B233" s="51"/>
    </row>
    <row r="234" ht="12" customHeight="1" spans="2:2">
      <c r="B234" s="51"/>
    </row>
    <row r="235" ht="12" customHeight="1" spans="2:2">
      <c r="B235" s="51"/>
    </row>
    <row r="236" ht="12" customHeight="1" spans="2:2">
      <c r="B236" s="51"/>
    </row>
    <row r="237" ht="12" customHeight="1" spans="2:2">
      <c r="B237" s="51"/>
    </row>
    <row r="238" ht="12" customHeight="1" spans="2:2">
      <c r="B238" s="51"/>
    </row>
    <row r="239" ht="12" customHeight="1" spans="2:2">
      <c r="B239" s="51"/>
    </row>
    <row r="240" ht="12" customHeight="1" spans="2:2">
      <c r="B240" s="51"/>
    </row>
    <row r="241" ht="12" customHeight="1" spans="2:2">
      <c r="B241" s="51"/>
    </row>
    <row r="242" ht="12" customHeight="1" spans="2:2">
      <c r="B242" s="51"/>
    </row>
    <row r="243" ht="12" customHeight="1" spans="2:2">
      <c r="B243" s="51"/>
    </row>
    <row r="244" ht="12" customHeight="1" spans="2:2">
      <c r="B244" s="51"/>
    </row>
    <row r="245" ht="12" customHeight="1" spans="2:2">
      <c r="B245" s="51"/>
    </row>
    <row r="246" ht="12" customHeight="1" spans="2:2">
      <c r="B246" s="51"/>
    </row>
    <row r="247" ht="12" customHeight="1" spans="2:2">
      <c r="B247" s="51"/>
    </row>
    <row r="248" ht="12" customHeight="1" spans="2:2">
      <c r="B248" s="51"/>
    </row>
    <row r="249" ht="12" customHeight="1" spans="2:2">
      <c r="B249" s="51"/>
    </row>
    <row r="250" ht="12" customHeight="1" spans="2:2">
      <c r="B250" s="51"/>
    </row>
    <row r="251" ht="12" customHeight="1" spans="2:2">
      <c r="B251" s="51"/>
    </row>
    <row r="252" ht="12" customHeight="1" spans="2:2">
      <c r="B252" s="51"/>
    </row>
    <row r="253" ht="12" customHeight="1" spans="2:2">
      <c r="B253" s="51"/>
    </row>
    <row r="254" ht="12" customHeight="1" spans="2:2">
      <c r="B254" s="51"/>
    </row>
    <row r="255" ht="12" customHeight="1" spans="2:2">
      <c r="B255" s="51"/>
    </row>
    <row r="256" ht="12" customHeight="1" spans="2:2">
      <c r="B256" s="51"/>
    </row>
    <row r="257" ht="12" customHeight="1" spans="2:2">
      <c r="B257" s="51"/>
    </row>
    <row r="258" ht="12" customHeight="1" spans="2:2">
      <c r="B258" s="51"/>
    </row>
    <row r="259" ht="12" customHeight="1" spans="2:2">
      <c r="B259" s="51"/>
    </row>
    <row r="260" ht="12" customHeight="1" spans="2:2">
      <c r="B260" s="51"/>
    </row>
    <row r="261" ht="12" customHeight="1" spans="2:2">
      <c r="B261" s="51"/>
    </row>
    <row r="262" ht="12" customHeight="1" spans="2:2">
      <c r="B262" s="51"/>
    </row>
    <row r="263" ht="12" customHeight="1" spans="2:2">
      <c r="B263" s="51"/>
    </row>
    <row r="264" ht="12" customHeight="1" spans="2:2">
      <c r="B264" s="51"/>
    </row>
    <row r="265" ht="12" customHeight="1" spans="2:2">
      <c r="B265" s="51"/>
    </row>
    <row r="266" ht="12" customHeight="1" spans="2:2">
      <c r="B266" s="51"/>
    </row>
    <row r="267" ht="12" customHeight="1" spans="2:2">
      <c r="B267" s="51"/>
    </row>
    <row r="268" ht="12" customHeight="1" spans="2:2">
      <c r="B268" s="51"/>
    </row>
    <row r="269" ht="12" customHeight="1" spans="2:2">
      <c r="B269" s="51"/>
    </row>
    <row r="270" ht="12" customHeight="1" spans="2:2">
      <c r="B270" s="51"/>
    </row>
    <row r="271" ht="12" customHeight="1" spans="2:2">
      <c r="B271" s="51"/>
    </row>
    <row r="272" ht="12" customHeight="1" spans="2:2">
      <c r="B272" s="51"/>
    </row>
    <row r="273" ht="12" customHeight="1" spans="2:2">
      <c r="B273" s="51"/>
    </row>
    <row r="274" ht="12" customHeight="1" spans="2:2">
      <c r="B274" s="51"/>
    </row>
    <row r="275" ht="12" customHeight="1" spans="2:2">
      <c r="B275" s="51"/>
    </row>
    <row r="276" ht="12" customHeight="1" spans="2:2">
      <c r="B276" s="51"/>
    </row>
    <row r="277" ht="12" customHeight="1" spans="2:2">
      <c r="B277" s="51"/>
    </row>
    <row r="278" ht="12" customHeight="1" spans="2:2">
      <c r="B278" s="51"/>
    </row>
    <row r="279" ht="12" customHeight="1" spans="2:2">
      <c r="B279" s="51"/>
    </row>
    <row r="280" ht="12" customHeight="1" spans="2:2">
      <c r="B280" s="51"/>
    </row>
    <row r="281" ht="12" customHeight="1" spans="2:2">
      <c r="B281" s="51"/>
    </row>
    <row r="282" ht="12" customHeight="1" spans="2:2">
      <c r="B282" s="51"/>
    </row>
    <row r="283" ht="12" customHeight="1" spans="2:2">
      <c r="B283" s="51"/>
    </row>
    <row r="284" ht="12" customHeight="1" spans="2:2">
      <c r="B284" s="51"/>
    </row>
    <row r="285" ht="12" customHeight="1" spans="2:2">
      <c r="B285" s="51"/>
    </row>
    <row r="286" ht="12" customHeight="1" spans="2:2">
      <c r="B286" s="51"/>
    </row>
    <row r="287" ht="12" customHeight="1" spans="2:2">
      <c r="B287" s="51"/>
    </row>
    <row r="288" ht="12" customHeight="1" spans="2:2">
      <c r="B288" s="51"/>
    </row>
    <row r="289" ht="12" customHeight="1" spans="2:2">
      <c r="B289" s="51"/>
    </row>
    <row r="290" ht="12" customHeight="1" spans="2:2">
      <c r="B290" s="51"/>
    </row>
    <row r="291" ht="12" customHeight="1" spans="2:2">
      <c r="B291" s="51"/>
    </row>
    <row r="292" ht="12" customHeight="1" spans="2:2">
      <c r="B292" s="51"/>
    </row>
    <row r="293" ht="12" customHeight="1" spans="2:2">
      <c r="B293" s="51"/>
    </row>
    <row r="294" ht="12" customHeight="1" spans="2:2">
      <c r="B294" s="51"/>
    </row>
    <row r="295" ht="12" customHeight="1" spans="2:2">
      <c r="B295" s="51"/>
    </row>
    <row r="296" ht="12" customHeight="1" spans="2:2">
      <c r="B296" s="51"/>
    </row>
    <row r="297" ht="12" customHeight="1" spans="2:2">
      <c r="B297" s="51"/>
    </row>
    <row r="298" ht="12" customHeight="1" spans="2:2">
      <c r="B298" s="51"/>
    </row>
    <row r="299" ht="12" customHeight="1" spans="2:2">
      <c r="B299" s="51"/>
    </row>
    <row r="300" ht="12" customHeight="1" spans="2:2">
      <c r="B300" s="51"/>
    </row>
    <row r="301" ht="12" customHeight="1" spans="2:2">
      <c r="B301" s="51"/>
    </row>
    <row r="302" ht="12" customHeight="1" spans="2:2">
      <c r="B302" s="51"/>
    </row>
    <row r="303" ht="12" customHeight="1" spans="2:2">
      <c r="B303" s="51"/>
    </row>
    <row r="304" ht="12" customHeight="1" spans="2:2">
      <c r="B304" s="51"/>
    </row>
    <row r="305" ht="12" customHeight="1" spans="2:2">
      <c r="B305" s="51"/>
    </row>
    <row r="306" ht="12" customHeight="1" spans="2:2">
      <c r="B306" s="51"/>
    </row>
    <row r="307" ht="12" customHeight="1" spans="2:2">
      <c r="B307" s="51"/>
    </row>
    <row r="308" ht="12" customHeight="1" spans="2:2">
      <c r="B308" s="51"/>
    </row>
    <row r="309" ht="12" customHeight="1" spans="2:2">
      <c r="B309" s="51"/>
    </row>
    <row r="310" ht="12" customHeight="1" spans="2:2">
      <c r="B310" s="51"/>
    </row>
    <row r="311" ht="12" customHeight="1" spans="2:2">
      <c r="B311" s="51"/>
    </row>
    <row r="312" ht="12" customHeight="1" spans="2:2">
      <c r="B312" s="51"/>
    </row>
    <row r="313" ht="12" customHeight="1" spans="2:2">
      <c r="B313" s="51"/>
    </row>
    <row r="314" ht="12" customHeight="1" spans="2:2">
      <c r="B314" s="51"/>
    </row>
    <row r="315" ht="12" customHeight="1" spans="2:2">
      <c r="B315" s="51"/>
    </row>
    <row r="316" ht="12" customHeight="1" spans="2:2">
      <c r="B316" s="51"/>
    </row>
    <row r="317" ht="12" customHeight="1" spans="2:2">
      <c r="B317" s="51"/>
    </row>
    <row r="318" ht="12" customHeight="1" spans="2:2">
      <c r="B318" s="51"/>
    </row>
    <row r="319" ht="12" customHeight="1" spans="2:2">
      <c r="B319" s="51"/>
    </row>
    <row r="320" ht="12" customHeight="1" spans="2:2">
      <c r="B320" s="51"/>
    </row>
    <row r="321" ht="12" customHeight="1" spans="2:2">
      <c r="B321" s="51"/>
    </row>
    <row r="322" ht="12" customHeight="1" spans="2:2">
      <c r="B322" s="51"/>
    </row>
    <row r="323" ht="12" customHeight="1" spans="2:2">
      <c r="B323" s="51"/>
    </row>
    <row r="324" ht="12" customHeight="1" spans="2:2">
      <c r="B324" s="51"/>
    </row>
    <row r="325" ht="12" customHeight="1" spans="2:2">
      <c r="B325" s="51"/>
    </row>
    <row r="326" ht="12" customHeight="1" spans="2:2">
      <c r="B326" s="51"/>
    </row>
    <row r="327" ht="12" customHeight="1" spans="2:2">
      <c r="B327" s="51"/>
    </row>
    <row r="328" ht="12" customHeight="1" spans="2:2">
      <c r="B328" s="51"/>
    </row>
    <row r="329" ht="12" customHeight="1" spans="2:2">
      <c r="B329" s="51"/>
    </row>
    <row r="330" ht="12" customHeight="1" spans="2:2">
      <c r="B330" s="51"/>
    </row>
    <row r="331" ht="12" customHeight="1" spans="2:2">
      <c r="B331" s="51"/>
    </row>
    <row r="332" ht="12" customHeight="1" spans="2:2">
      <c r="B332" s="51"/>
    </row>
    <row r="333" ht="12" customHeight="1" spans="2:2">
      <c r="B333" s="51"/>
    </row>
    <row r="334" ht="12" customHeight="1" spans="2:2">
      <c r="B334" s="51"/>
    </row>
    <row r="335" ht="12" customHeight="1" spans="2:2">
      <c r="B335" s="51"/>
    </row>
    <row r="336" ht="12" customHeight="1" spans="2:2">
      <c r="B336" s="51"/>
    </row>
    <row r="337" ht="12" customHeight="1" spans="2:2">
      <c r="B337" s="51"/>
    </row>
    <row r="338" ht="12" customHeight="1" spans="2:2">
      <c r="B338" s="51"/>
    </row>
    <row r="339" ht="12" customHeight="1" spans="2:2">
      <c r="B339" s="51"/>
    </row>
    <row r="340" ht="12" customHeight="1" spans="2:2">
      <c r="B340" s="51"/>
    </row>
    <row r="341" ht="12" customHeight="1" spans="2:2">
      <c r="B341" s="51"/>
    </row>
    <row r="342" ht="12" customHeight="1" spans="2:2">
      <c r="B342" s="51"/>
    </row>
    <row r="343" ht="12" customHeight="1" spans="2:2">
      <c r="B343" s="51"/>
    </row>
    <row r="344" ht="12" customHeight="1" spans="2:2">
      <c r="B344" s="51"/>
    </row>
    <row r="345" ht="12" customHeight="1" spans="2:2">
      <c r="B345" s="51"/>
    </row>
    <row r="346" ht="12" customHeight="1" spans="2:2">
      <c r="B346" s="51"/>
    </row>
    <row r="347" ht="12" customHeight="1" spans="2:2">
      <c r="B347" s="51"/>
    </row>
    <row r="348" ht="12" customHeight="1" spans="2:2">
      <c r="B348" s="51"/>
    </row>
    <row r="349" ht="12" customHeight="1" spans="2:2">
      <c r="B349" s="51"/>
    </row>
    <row r="350" ht="12" customHeight="1" spans="2:2">
      <c r="B350" s="51"/>
    </row>
    <row r="351" ht="12" customHeight="1" spans="2:2">
      <c r="B351" s="51"/>
    </row>
    <row r="352" ht="12" customHeight="1" spans="2:2">
      <c r="B352" s="51"/>
    </row>
    <row r="353" ht="12" customHeight="1" spans="2:2">
      <c r="B353" s="51"/>
    </row>
    <row r="354" ht="12" customHeight="1" spans="2:2">
      <c r="B354" s="51"/>
    </row>
    <row r="355" ht="12" customHeight="1" spans="2:2">
      <c r="B355" s="51"/>
    </row>
    <row r="356" ht="12" customHeight="1" spans="2:2">
      <c r="B356" s="51"/>
    </row>
    <row r="357" ht="12" customHeight="1" spans="2:2">
      <c r="B357" s="51"/>
    </row>
    <row r="358" ht="12" customHeight="1" spans="2:2">
      <c r="B358" s="51"/>
    </row>
    <row r="359" ht="12" customHeight="1" spans="2:2">
      <c r="B359" s="51"/>
    </row>
    <row r="360" ht="12" customHeight="1" spans="2:2">
      <c r="B360" s="51"/>
    </row>
    <row r="361" ht="12" customHeight="1" spans="2:2">
      <c r="B361" s="51"/>
    </row>
    <row r="362" ht="12" customHeight="1" spans="2:2">
      <c r="B362" s="51"/>
    </row>
    <row r="363" ht="12" customHeight="1" spans="2:2">
      <c r="B363" s="51"/>
    </row>
    <row r="364" ht="12" customHeight="1" spans="2:2">
      <c r="B364" s="51"/>
    </row>
    <row r="365" ht="12" customHeight="1" spans="2:2">
      <c r="B365" s="51"/>
    </row>
    <row r="366" ht="12" customHeight="1" spans="2:2">
      <c r="B366" s="51"/>
    </row>
    <row r="367" ht="12" customHeight="1" spans="2:2">
      <c r="B367" s="51"/>
    </row>
    <row r="368" ht="12" customHeight="1" spans="2:2">
      <c r="B368" s="51"/>
    </row>
    <row r="369" ht="12" customHeight="1" spans="2:2">
      <c r="B369" s="51"/>
    </row>
    <row r="370" ht="12" customHeight="1" spans="2:2">
      <c r="B370" s="51"/>
    </row>
    <row r="371" ht="12" customHeight="1" spans="2:2">
      <c r="B371" s="51"/>
    </row>
    <row r="372" ht="12" customHeight="1" spans="2:2">
      <c r="B372" s="51"/>
    </row>
    <row r="373" ht="12" customHeight="1" spans="2:2">
      <c r="B373" s="51"/>
    </row>
    <row r="374" ht="12" customHeight="1" spans="2:2">
      <c r="B374" s="51"/>
    </row>
    <row r="375" ht="12" customHeight="1" spans="2:2">
      <c r="B375" s="51"/>
    </row>
    <row r="376" ht="12" customHeight="1" spans="2:2">
      <c r="B376" s="51"/>
    </row>
    <row r="377" ht="12" customHeight="1" spans="2:2">
      <c r="B377" s="51"/>
    </row>
    <row r="378" ht="12" customHeight="1" spans="2:2">
      <c r="B378" s="51"/>
    </row>
    <row r="379" ht="12" customHeight="1" spans="2:2">
      <c r="B379" s="51"/>
    </row>
    <row r="380" ht="12" customHeight="1" spans="2:2">
      <c r="B380" s="51"/>
    </row>
    <row r="381" ht="12" customHeight="1" spans="2:2">
      <c r="B381" s="51"/>
    </row>
    <row r="382" ht="12" customHeight="1" spans="2:2">
      <c r="B382" s="51"/>
    </row>
    <row r="383" ht="12" customHeight="1" spans="2:2">
      <c r="B383" s="51"/>
    </row>
    <row r="384" ht="12" customHeight="1" spans="2:2">
      <c r="B384" s="51"/>
    </row>
    <row r="385" ht="12" customHeight="1" spans="2:2">
      <c r="B385" s="51"/>
    </row>
    <row r="386" ht="12" customHeight="1" spans="2:2">
      <c r="B386" s="51"/>
    </row>
    <row r="387" ht="12" customHeight="1" spans="2:2">
      <c r="B387" s="51"/>
    </row>
    <row r="388" ht="12" customHeight="1" spans="2:2">
      <c r="B388" s="51"/>
    </row>
    <row r="389" ht="12" customHeight="1" spans="2:2">
      <c r="B389" s="51"/>
    </row>
    <row r="390" ht="12" customHeight="1" spans="2:2">
      <c r="B390" s="51"/>
    </row>
    <row r="391" ht="12" customHeight="1" spans="2:2">
      <c r="B391" s="51"/>
    </row>
    <row r="392" ht="12" customHeight="1" spans="2:2">
      <c r="B392" s="51"/>
    </row>
    <row r="393" ht="12" customHeight="1" spans="2:2">
      <c r="B393" s="51"/>
    </row>
    <row r="394" ht="12" customHeight="1" spans="2:2">
      <c r="B394" s="51"/>
    </row>
    <row r="395" ht="12" customHeight="1" spans="2:2">
      <c r="B395" s="51"/>
    </row>
    <row r="396" ht="12" customHeight="1" spans="2:2">
      <c r="B396" s="51"/>
    </row>
    <row r="397" ht="12" customHeight="1" spans="2:2">
      <c r="B397" s="51"/>
    </row>
    <row r="398" ht="12" customHeight="1" spans="2:2">
      <c r="B398" s="51"/>
    </row>
    <row r="399" ht="12" customHeight="1" spans="2:2">
      <c r="B399" s="51"/>
    </row>
    <row r="400" ht="12" customHeight="1" spans="2:2">
      <c r="B400" s="51"/>
    </row>
    <row r="401" ht="12" customHeight="1" spans="2:2">
      <c r="B401" s="51"/>
    </row>
    <row r="402" ht="12" customHeight="1" spans="2:2">
      <c r="B402" s="51"/>
    </row>
    <row r="403" ht="12" customHeight="1" spans="2:2">
      <c r="B403" s="51"/>
    </row>
    <row r="404" ht="12" customHeight="1" spans="2:2">
      <c r="B404" s="51"/>
    </row>
    <row r="405" ht="12" customHeight="1" spans="2:2">
      <c r="B405" s="51"/>
    </row>
    <row r="406" ht="12" customHeight="1" spans="2:2">
      <c r="B406" s="51"/>
    </row>
    <row r="407" ht="12" customHeight="1" spans="2:2">
      <c r="B407" s="51"/>
    </row>
    <row r="408" ht="12" customHeight="1" spans="2:2">
      <c r="B408" s="51"/>
    </row>
    <row r="409" ht="12" customHeight="1" spans="2:2">
      <c r="B409" s="51"/>
    </row>
    <row r="410" ht="12" customHeight="1" spans="2:2">
      <c r="B410" s="51"/>
    </row>
    <row r="411" ht="12" customHeight="1" spans="2:2">
      <c r="B411" s="51"/>
    </row>
    <row r="412" ht="12" customHeight="1" spans="2:2">
      <c r="B412" s="51"/>
    </row>
    <row r="413" ht="12" customHeight="1" spans="2:2">
      <c r="B413" s="51"/>
    </row>
    <row r="414" ht="12" customHeight="1" spans="2:2">
      <c r="B414" s="51"/>
    </row>
    <row r="415" ht="12" customHeight="1" spans="2:2">
      <c r="B415" s="51"/>
    </row>
    <row r="416" ht="12" customHeight="1" spans="2:2">
      <c r="B416" s="51"/>
    </row>
    <row r="417" ht="12" customHeight="1" spans="2:2">
      <c r="B417" s="51"/>
    </row>
    <row r="418" ht="12" customHeight="1" spans="2:2">
      <c r="B418" s="51"/>
    </row>
    <row r="419" ht="12" customHeight="1" spans="2:2">
      <c r="B419" s="51"/>
    </row>
    <row r="420" ht="12" customHeight="1" spans="2:2">
      <c r="B420" s="51"/>
    </row>
    <row r="421" ht="12" customHeight="1" spans="2:2">
      <c r="B421" s="51"/>
    </row>
    <row r="422" ht="12" customHeight="1" spans="2:2">
      <c r="B422" s="51"/>
    </row>
    <row r="423" ht="12" customHeight="1" spans="2:2">
      <c r="B423" s="51"/>
    </row>
    <row r="424" ht="12" customHeight="1" spans="2:2">
      <c r="B424" s="51"/>
    </row>
    <row r="425" ht="12" customHeight="1" spans="2:2">
      <c r="B425" s="51"/>
    </row>
    <row r="426" ht="12" customHeight="1" spans="2:2">
      <c r="B426" s="51"/>
    </row>
    <row r="427" ht="12" customHeight="1" spans="2:2">
      <c r="B427" s="51"/>
    </row>
    <row r="428" ht="12" customHeight="1" spans="2:2">
      <c r="B428" s="51"/>
    </row>
    <row r="429" ht="12" customHeight="1" spans="2:2">
      <c r="B429" s="51"/>
    </row>
    <row r="430" ht="12" customHeight="1" spans="2:2">
      <c r="B430" s="51"/>
    </row>
    <row r="431" ht="12" customHeight="1" spans="2:2">
      <c r="B431" s="51"/>
    </row>
    <row r="432" ht="12" customHeight="1" spans="2:2">
      <c r="B432" s="51"/>
    </row>
    <row r="433" ht="12" customHeight="1" spans="2:2">
      <c r="B433" s="51"/>
    </row>
    <row r="434" ht="12" customHeight="1" spans="2:2">
      <c r="B434" s="51"/>
    </row>
    <row r="435" ht="12" customHeight="1" spans="2:2">
      <c r="B435" s="51"/>
    </row>
    <row r="436" ht="12" customHeight="1" spans="2:2">
      <c r="B436" s="51"/>
    </row>
    <row r="437" ht="12" customHeight="1" spans="2:2">
      <c r="B437" s="51"/>
    </row>
    <row r="438" ht="12" customHeight="1" spans="2:2">
      <c r="B438" s="51"/>
    </row>
    <row r="439" ht="12" customHeight="1" spans="2:2">
      <c r="B439" s="51"/>
    </row>
    <row r="440" ht="12" customHeight="1" spans="2:2">
      <c r="B440" s="51"/>
    </row>
    <row r="441" ht="12" customHeight="1" spans="2:2">
      <c r="B441" s="51"/>
    </row>
    <row r="442" ht="12" customHeight="1" spans="2:2">
      <c r="B442" s="51"/>
    </row>
    <row r="443" ht="12" customHeight="1" spans="2:2">
      <c r="B443" s="51"/>
    </row>
    <row r="444" ht="12" customHeight="1" spans="2:2">
      <c r="B444" s="51"/>
    </row>
    <row r="445" ht="12" customHeight="1" spans="2:2">
      <c r="B445" s="51"/>
    </row>
    <row r="446" ht="12" customHeight="1" spans="2:2">
      <c r="B446" s="51"/>
    </row>
    <row r="447" ht="12" customHeight="1" spans="2:2">
      <c r="B447" s="51"/>
    </row>
    <row r="448" ht="12" customHeight="1" spans="2:2">
      <c r="B448" s="51"/>
    </row>
    <row r="449" ht="12" customHeight="1" spans="2:2">
      <c r="B449" s="51"/>
    </row>
    <row r="450" ht="12" customHeight="1" spans="2:2">
      <c r="B450" s="51"/>
    </row>
    <row r="451" ht="12" customHeight="1" spans="2:2">
      <c r="B451" s="51"/>
    </row>
    <row r="452" ht="12" customHeight="1" spans="2:2">
      <c r="B452" s="51"/>
    </row>
    <row r="453" ht="12" customHeight="1" spans="2:2">
      <c r="B453" s="51"/>
    </row>
    <row r="454" ht="12" customHeight="1" spans="2:2">
      <c r="B454" s="51"/>
    </row>
    <row r="455" ht="12" customHeight="1" spans="2:2">
      <c r="B455" s="51"/>
    </row>
    <row r="456" ht="12" customHeight="1" spans="2:2">
      <c r="B456" s="51"/>
    </row>
    <row r="457" ht="12" customHeight="1" spans="2:2">
      <c r="B457" s="51"/>
    </row>
    <row r="458" ht="12" customHeight="1" spans="2:2">
      <c r="B458" s="51"/>
    </row>
    <row r="459" ht="12" customHeight="1" spans="2:2">
      <c r="B459" s="51"/>
    </row>
    <row r="460" ht="12" customHeight="1" spans="2:2">
      <c r="B460" s="51"/>
    </row>
    <row r="461" ht="12" customHeight="1" spans="2:2">
      <c r="B461" s="51"/>
    </row>
    <row r="462" ht="12" customHeight="1" spans="2:2">
      <c r="B462" s="51"/>
    </row>
    <row r="463" ht="12" customHeight="1" spans="2:2">
      <c r="B463" s="51"/>
    </row>
    <row r="464" ht="12" customHeight="1" spans="2:2">
      <c r="B464" s="51"/>
    </row>
    <row r="465" ht="12" customHeight="1" spans="2:2">
      <c r="B465" s="51"/>
    </row>
    <row r="466" ht="12" customHeight="1" spans="2:2">
      <c r="B466" s="51"/>
    </row>
    <row r="467" ht="12" customHeight="1" spans="2:2">
      <c r="B467" s="51"/>
    </row>
    <row r="468" ht="12" customHeight="1" spans="2:2">
      <c r="B468" s="51"/>
    </row>
    <row r="469" ht="12" customHeight="1" spans="2:2">
      <c r="B469" s="51"/>
    </row>
    <row r="470" ht="12" customHeight="1" spans="2:2">
      <c r="B470" s="51"/>
    </row>
    <row r="471" ht="12" customHeight="1" spans="2:2">
      <c r="B471" s="51"/>
    </row>
    <row r="472" ht="12" customHeight="1" spans="2:2">
      <c r="B472" s="51"/>
    </row>
    <row r="473" ht="12" customHeight="1" spans="2:2">
      <c r="B473" s="51"/>
    </row>
    <row r="474" ht="12" customHeight="1" spans="2:2">
      <c r="B474" s="51"/>
    </row>
    <row r="475" ht="12" customHeight="1" spans="2:2">
      <c r="B475" s="51"/>
    </row>
    <row r="476" ht="12" customHeight="1" spans="2:2">
      <c r="B476" s="51"/>
    </row>
    <row r="477" ht="12" customHeight="1" spans="2:2">
      <c r="B477" s="51"/>
    </row>
    <row r="478" ht="12" customHeight="1" spans="2:2">
      <c r="B478" s="51"/>
    </row>
    <row r="479" ht="12" customHeight="1" spans="2:2">
      <c r="B479" s="51"/>
    </row>
    <row r="480" ht="12" customHeight="1" spans="2:2">
      <c r="B480" s="51"/>
    </row>
    <row r="481" ht="12" customHeight="1" spans="2:2">
      <c r="B481" s="51"/>
    </row>
    <row r="482" ht="12" customHeight="1" spans="2:2">
      <c r="B482" s="51"/>
    </row>
    <row r="483" ht="12" customHeight="1" spans="2:2">
      <c r="B483" s="51"/>
    </row>
    <row r="484" ht="12" customHeight="1" spans="2:2">
      <c r="B484" s="51"/>
    </row>
    <row r="485" ht="12" customHeight="1" spans="2:2">
      <c r="B485" s="51"/>
    </row>
    <row r="486" ht="12" customHeight="1" spans="2:2">
      <c r="B486" s="51"/>
    </row>
    <row r="487" ht="12" customHeight="1" spans="2:2">
      <c r="B487" s="51"/>
    </row>
    <row r="488" ht="12" customHeight="1" spans="2:2">
      <c r="B488" s="51"/>
    </row>
    <row r="489" ht="12" customHeight="1" spans="2:2">
      <c r="B489" s="51"/>
    </row>
    <row r="490" ht="12" customHeight="1" spans="2:2">
      <c r="B490" s="51"/>
    </row>
    <row r="491" ht="12" customHeight="1" spans="2:2">
      <c r="B491" s="51"/>
    </row>
    <row r="492" ht="12" customHeight="1" spans="2:2">
      <c r="B492" s="51"/>
    </row>
    <row r="493" ht="12" customHeight="1" spans="2:2">
      <c r="B493" s="51"/>
    </row>
    <row r="494" ht="12" customHeight="1" spans="2:2">
      <c r="B494" s="51"/>
    </row>
    <row r="495" ht="12" customHeight="1" spans="2:2">
      <c r="B495" s="51"/>
    </row>
    <row r="496" ht="12" customHeight="1" spans="2:2">
      <c r="B496" s="51"/>
    </row>
    <row r="497" ht="12" customHeight="1" spans="2:2">
      <c r="B497" s="51"/>
    </row>
    <row r="498" ht="12" customHeight="1" spans="2:2">
      <c r="B498" s="51"/>
    </row>
    <row r="499" ht="12" customHeight="1" spans="2:2">
      <c r="B499" s="51"/>
    </row>
    <row r="500" ht="12" customHeight="1" spans="2:2">
      <c r="B500" s="51"/>
    </row>
    <row r="501" ht="12" customHeight="1" spans="2:2">
      <c r="B501" s="51"/>
    </row>
    <row r="502" ht="12" customHeight="1" spans="2:2">
      <c r="B502" s="51"/>
    </row>
    <row r="503" ht="12" customHeight="1" spans="2:2">
      <c r="B503" s="51"/>
    </row>
    <row r="504" ht="12" customHeight="1" spans="2:2">
      <c r="B504" s="51"/>
    </row>
    <row r="505" ht="12" customHeight="1" spans="2:2">
      <c r="B505" s="51"/>
    </row>
    <row r="506" ht="12" customHeight="1" spans="2:2">
      <c r="B506" s="51"/>
    </row>
    <row r="507" ht="12" customHeight="1" spans="2:2">
      <c r="B507" s="51"/>
    </row>
    <row r="508" ht="12" customHeight="1" spans="2:2">
      <c r="B508" s="51"/>
    </row>
    <row r="509" ht="12" customHeight="1" spans="2:2">
      <c r="B509" s="51"/>
    </row>
    <row r="510" ht="12" customHeight="1" spans="2:2">
      <c r="B510" s="51"/>
    </row>
    <row r="511" ht="12" customHeight="1" spans="2:2">
      <c r="B511" s="51"/>
    </row>
    <row r="512" ht="12" customHeight="1" spans="2:2">
      <c r="B512" s="51"/>
    </row>
    <row r="513" ht="12" customHeight="1" spans="2:2">
      <c r="B513" s="51"/>
    </row>
    <row r="514" ht="12" customHeight="1" spans="2:2">
      <c r="B514" s="51"/>
    </row>
    <row r="515" ht="12" customHeight="1" spans="2:2">
      <c r="B515" s="51"/>
    </row>
    <row r="516" ht="12" customHeight="1" spans="2:2">
      <c r="B516" s="51"/>
    </row>
    <row r="517" ht="12" customHeight="1" spans="2:2">
      <c r="B517" s="51"/>
    </row>
    <row r="518" ht="12" customHeight="1" spans="2:2">
      <c r="B518" s="51"/>
    </row>
    <row r="519" ht="12" customHeight="1" spans="2:2">
      <c r="B519" s="51"/>
    </row>
    <row r="520" ht="12" customHeight="1" spans="2:2">
      <c r="B520" s="51"/>
    </row>
    <row r="521" ht="12" customHeight="1" spans="2:2">
      <c r="B521" s="51"/>
    </row>
    <row r="522" ht="12" customHeight="1" spans="2:2">
      <c r="B522" s="51"/>
    </row>
    <row r="523" ht="12" customHeight="1" spans="2:2">
      <c r="B523" s="51"/>
    </row>
    <row r="524" ht="12" customHeight="1" spans="2:2">
      <c r="B524" s="51"/>
    </row>
    <row r="525" ht="12" customHeight="1" spans="2:2">
      <c r="B525" s="51"/>
    </row>
    <row r="526" ht="12" customHeight="1" spans="2:2">
      <c r="B526" s="51"/>
    </row>
    <row r="527" ht="12" customHeight="1" spans="2:2">
      <c r="B527" s="51"/>
    </row>
    <row r="528" ht="12" customHeight="1" spans="2:2">
      <c r="B528" s="51"/>
    </row>
    <row r="529" ht="12" customHeight="1" spans="2:2">
      <c r="B529" s="51"/>
    </row>
    <row r="530" ht="12" customHeight="1" spans="2:2">
      <c r="B530" s="51"/>
    </row>
    <row r="531" ht="12" customHeight="1" spans="2:2">
      <c r="B531" s="51"/>
    </row>
    <row r="532" ht="12" customHeight="1" spans="2:2">
      <c r="B532" s="51"/>
    </row>
    <row r="533" ht="12" customHeight="1" spans="2:2">
      <c r="B533" s="51"/>
    </row>
    <row r="534" ht="12" customHeight="1" spans="2:2">
      <c r="B534" s="51"/>
    </row>
    <row r="535" ht="12" customHeight="1" spans="2:2">
      <c r="B535" s="51"/>
    </row>
    <row r="536" ht="12" customHeight="1" spans="2:2">
      <c r="B536" s="51"/>
    </row>
    <row r="537" ht="12" customHeight="1" spans="2:2">
      <c r="B537" s="51"/>
    </row>
    <row r="538" ht="12" customHeight="1" spans="2:2">
      <c r="B538" s="51"/>
    </row>
    <row r="539" ht="12" customHeight="1" spans="2:2">
      <c r="B539" s="51"/>
    </row>
    <row r="540" ht="12" customHeight="1" spans="2:2">
      <c r="B540" s="51"/>
    </row>
    <row r="541" ht="12" customHeight="1" spans="2:2">
      <c r="B541" s="51"/>
    </row>
    <row r="542" ht="12" customHeight="1" spans="2:2">
      <c r="B542" s="51"/>
    </row>
    <row r="543" ht="12" customHeight="1" spans="2:2">
      <c r="B543" s="51"/>
    </row>
    <row r="544" ht="12" customHeight="1" spans="2:2">
      <c r="B544" s="51"/>
    </row>
    <row r="545" ht="12" customHeight="1" spans="2:2">
      <c r="B545" s="51"/>
    </row>
    <row r="546" ht="12" customHeight="1" spans="2:2">
      <c r="B546" s="51"/>
    </row>
    <row r="547" ht="12" customHeight="1" spans="2:2">
      <c r="B547" s="51"/>
    </row>
    <row r="548" ht="12" customHeight="1" spans="2:2">
      <c r="B548" s="51"/>
    </row>
    <row r="549" ht="12" customHeight="1" spans="2:2">
      <c r="B549" s="51"/>
    </row>
    <row r="550" ht="12" customHeight="1" spans="2:2">
      <c r="B550" s="51"/>
    </row>
    <row r="551" ht="12" customHeight="1" spans="2:2">
      <c r="B551" s="51"/>
    </row>
    <row r="552" ht="12" customHeight="1" spans="2:2">
      <c r="B552" s="51"/>
    </row>
    <row r="553" ht="12" customHeight="1" spans="2:2">
      <c r="B553" s="51"/>
    </row>
    <row r="554" ht="12" customHeight="1" spans="2:2">
      <c r="B554" s="51"/>
    </row>
    <row r="555" ht="12" customHeight="1" spans="2:2">
      <c r="B555" s="51"/>
    </row>
    <row r="556" ht="12" customHeight="1" spans="2:2">
      <c r="B556" s="51"/>
    </row>
    <row r="557" ht="12" customHeight="1" spans="2:2">
      <c r="B557" s="51"/>
    </row>
    <row r="558" ht="12" customHeight="1" spans="2:2">
      <c r="B558" s="51"/>
    </row>
    <row r="559" ht="12" customHeight="1" spans="2:2">
      <c r="B559" s="51"/>
    </row>
    <row r="560" ht="12" customHeight="1" spans="2:2">
      <c r="B560" s="51"/>
    </row>
    <row r="561" ht="12" customHeight="1" spans="2:2">
      <c r="B561" s="51"/>
    </row>
    <row r="562" ht="12" customHeight="1" spans="2:2">
      <c r="B562" s="51"/>
    </row>
    <row r="563" ht="12" customHeight="1" spans="2:2">
      <c r="B563" s="51"/>
    </row>
    <row r="564" ht="12" customHeight="1" spans="2:2">
      <c r="B564" s="51"/>
    </row>
    <row r="565" ht="12" customHeight="1" spans="2:2">
      <c r="B565" s="51"/>
    </row>
    <row r="566" ht="12" customHeight="1" spans="2:2">
      <c r="B566" s="51"/>
    </row>
    <row r="567" ht="12" customHeight="1" spans="2:2">
      <c r="B567" s="51"/>
    </row>
    <row r="568" ht="12" customHeight="1" spans="2:2">
      <c r="B568" s="51"/>
    </row>
    <row r="569" ht="12" customHeight="1" spans="2:2">
      <c r="B569" s="51"/>
    </row>
    <row r="570" ht="12" customHeight="1" spans="2:2">
      <c r="B570" s="51"/>
    </row>
    <row r="571" ht="12" customHeight="1" spans="2:2">
      <c r="B571" s="51"/>
    </row>
    <row r="572" ht="12" customHeight="1" spans="2:2">
      <c r="B572" s="51"/>
    </row>
    <row r="573" ht="12" customHeight="1" spans="2:2">
      <c r="B573" s="51"/>
    </row>
    <row r="574" ht="12" customHeight="1" spans="2:2">
      <c r="B574" s="51"/>
    </row>
    <row r="575" ht="12" customHeight="1" spans="2:2">
      <c r="B575" s="51"/>
    </row>
    <row r="576" ht="12" customHeight="1" spans="2:2">
      <c r="B576" s="51"/>
    </row>
    <row r="577" ht="12" customHeight="1" spans="2:2">
      <c r="B577" s="51"/>
    </row>
    <row r="578" ht="12" customHeight="1" spans="2:2">
      <c r="B578" s="51"/>
    </row>
    <row r="579" ht="12" customHeight="1" spans="2:2">
      <c r="B579" s="51"/>
    </row>
    <row r="580" ht="12" customHeight="1" spans="2:2">
      <c r="B580" s="51"/>
    </row>
    <row r="581" ht="12" customHeight="1" spans="2:2">
      <c r="B581" s="51"/>
    </row>
    <row r="582" ht="12" customHeight="1" spans="2:2">
      <c r="B582" s="51"/>
    </row>
    <row r="583" ht="12" customHeight="1" spans="2:2">
      <c r="B583" s="51"/>
    </row>
    <row r="584" ht="12" customHeight="1" spans="2:2">
      <c r="B584" s="51"/>
    </row>
    <row r="585" ht="12" customHeight="1" spans="2:2">
      <c r="B585" s="51"/>
    </row>
    <row r="586" ht="12" customHeight="1" spans="2:2">
      <c r="B586" s="51"/>
    </row>
    <row r="587" ht="12" customHeight="1" spans="2:2">
      <c r="B587" s="51"/>
    </row>
    <row r="588" ht="12" customHeight="1" spans="2:2">
      <c r="B588" s="51"/>
    </row>
    <row r="589" ht="12" customHeight="1" spans="2:2">
      <c r="B589" s="51"/>
    </row>
    <row r="590" ht="12" customHeight="1" spans="2:2">
      <c r="B590" s="51"/>
    </row>
    <row r="591" ht="12" customHeight="1" spans="2:2">
      <c r="B591" s="51"/>
    </row>
    <row r="592" ht="12" customHeight="1" spans="2:2">
      <c r="B592" s="51"/>
    </row>
    <row r="593" ht="12" customHeight="1" spans="2:2">
      <c r="B593" s="51"/>
    </row>
    <row r="594" ht="12" customHeight="1" spans="2:2">
      <c r="B594" s="51"/>
    </row>
    <row r="595" ht="12" customHeight="1" spans="2:2">
      <c r="B595" s="51"/>
    </row>
    <row r="596" ht="12" customHeight="1" spans="2:2">
      <c r="B596" s="51"/>
    </row>
    <row r="597" ht="12" customHeight="1" spans="2:2">
      <c r="B597" s="51"/>
    </row>
    <row r="598" ht="12" customHeight="1" spans="2:2">
      <c r="B598" s="51"/>
    </row>
    <row r="599" ht="12" customHeight="1" spans="2:2">
      <c r="B599" s="51"/>
    </row>
    <row r="600" ht="12" customHeight="1" spans="2:2">
      <c r="B600" s="51"/>
    </row>
    <row r="601" ht="12" customHeight="1" spans="2:2">
      <c r="B601" s="51"/>
    </row>
    <row r="602" ht="12" customHeight="1" spans="2:2">
      <c r="B602" s="51"/>
    </row>
    <row r="603" ht="12" customHeight="1" spans="2:2">
      <c r="B603" s="51"/>
    </row>
    <row r="604" ht="12" customHeight="1" spans="2:2">
      <c r="B604" s="51"/>
    </row>
    <row r="605" ht="12" customHeight="1" spans="2:2">
      <c r="B605" s="51"/>
    </row>
    <row r="606" ht="12" customHeight="1" spans="2:2">
      <c r="B606" s="51"/>
    </row>
    <row r="607" ht="12" customHeight="1" spans="2:2">
      <c r="B607" s="51"/>
    </row>
    <row r="608" ht="12" customHeight="1" spans="2:2">
      <c r="B608" s="51"/>
    </row>
    <row r="609" ht="12" customHeight="1" spans="2:2">
      <c r="B609" s="51"/>
    </row>
    <row r="610" ht="12" customHeight="1" spans="2:2">
      <c r="B610" s="51"/>
    </row>
    <row r="611" ht="12" customHeight="1" spans="2:2">
      <c r="B611" s="51"/>
    </row>
    <row r="612" ht="12" customHeight="1" spans="2:2">
      <c r="B612" s="51"/>
    </row>
    <row r="613" ht="12" customHeight="1" spans="2:2">
      <c r="B613" s="51"/>
    </row>
    <row r="614" ht="12" customHeight="1" spans="2:2">
      <c r="B614" s="51"/>
    </row>
    <row r="615" ht="12" customHeight="1" spans="2:2">
      <c r="B615" s="51"/>
    </row>
    <row r="616" ht="12" customHeight="1" spans="2:2">
      <c r="B616" s="51"/>
    </row>
    <row r="617" ht="12" customHeight="1" spans="2:2">
      <c r="B617" s="51"/>
    </row>
    <row r="618" ht="12" customHeight="1" spans="2:2">
      <c r="B618" s="51"/>
    </row>
    <row r="619" ht="12" customHeight="1" spans="2:2">
      <c r="B619" s="51"/>
    </row>
    <row r="620" ht="12" customHeight="1" spans="2:2">
      <c r="B620" s="51"/>
    </row>
    <row r="621" ht="12" customHeight="1" spans="2:2">
      <c r="B621" s="51"/>
    </row>
    <row r="622" ht="12" customHeight="1" spans="2:2">
      <c r="B622" s="51"/>
    </row>
    <row r="623" ht="12" customHeight="1" spans="2:2">
      <c r="B623" s="51"/>
    </row>
    <row r="624" ht="12" customHeight="1" spans="2:2">
      <c r="B624" s="51"/>
    </row>
    <row r="625" ht="12" customHeight="1" spans="2:2">
      <c r="B625" s="51"/>
    </row>
    <row r="626" ht="12" customHeight="1" spans="2:2">
      <c r="B626" s="51"/>
    </row>
    <row r="627" ht="12" customHeight="1" spans="2:2">
      <c r="B627" s="51"/>
    </row>
    <row r="628" ht="12" customHeight="1" spans="2:2">
      <c r="B628" s="51"/>
    </row>
    <row r="629" ht="12" customHeight="1" spans="2:2">
      <c r="B629" s="51"/>
    </row>
    <row r="630" ht="12" customHeight="1" spans="2:2">
      <c r="B630" s="51"/>
    </row>
    <row r="631" ht="12" customHeight="1" spans="2:2">
      <c r="B631" s="51"/>
    </row>
    <row r="632" ht="12" customHeight="1" spans="2:2">
      <c r="B632" s="51"/>
    </row>
    <row r="633" ht="12" customHeight="1" spans="2:2">
      <c r="B633" s="51"/>
    </row>
    <row r="634" ht="12" customHeight="1" spans="2:2">
      <c r="B634" s="51"/>
    </row>
    <row r="635" ht="12" customHeight="1" spans="2:2">
      <c r="B635" s="51"/>
    </row>
    <row r="636" ht="12" customHeight="1" spans="2:2">
      <c r="B636" s="51"/>
    </row>
    <row r="637" ht="12" customHeight="1" spans="2:2">
      <c r="B637" s="51"/>
    </row>
    <row r="638" ht="12" customHeight="1" spans="2:2">
      <c r="B638" s="51"/>
    </row>
    <row r="639" ht="12" customHeight="1" spans="2:2">
      <c r="B639" s="51"/>
    </row>
    <row r="640" ht="12" customHeight="1" spans="2:2">
      <c r="B640" s="51"/>
    </row>
    <row r="641" ht="12" customHeight="1" spans="2:2">
      <c r="B641" s="51"/>
    </row>
    <row r="642" ht="12" customHeight="1" spans="2:2">
      <c r="B642" s="51"/>
    </row>
    <row r="643" ht="12" customHeight="1" spans="2:2">
      <c r="B643" s="51"/>
    </row>
    <row r="644" ht="12" customHeight="1" spans="2:2">
      <c r="B644" s="51"/>
    </row>
    <row r="645" ht="12" customHeight="1" spans="2:2">
      <c r="B645" s="51"/>
    </row>
    <row r="646" ht="12" customHeight="1" spans="2:2">
      <c r="B646" s="51"/>
    </row>
    <row r="647" ht="12" customHeight="1" spans="2:2">
      <c r="B647" s="51"/>
    </row>
    <row r="648" ht="12" customHeight="1" spans="2:2">
      <c r="B648" s="51"/>
    </row>
    <row r="649" ht="12" customHeight="1" spans="2:2">
      <c r="B649" s="51"/>
    </row>
    <row r="650" ht="12" customHeight="1" spans="2:2">
      <c r="B650" s="51"/>
    </row>
    <row r="651" ht="12" customHeight="1" spans="2:2">
      <c r="B651" s="51"/>
    </row>
    <row r="652" ht="12" customHeight="1" spans="2:2">
      <c r="B652" s="51"/>
    </row>
    <row r="653" ht="12" customHeight="1" spans="2:2">
      <c r="B653" s="51"/>
    </row>
    <row r="654" ht="12" customHeight="1" spans="2:2">
      <c r="B654" s="51"/>
    </row>
    <row r="655" ht="12" customHeight="1" spans="2:2">
      <c r="B655" s="51"/>
    </row>
    <row r="656" ht="12" customHeight="1" spans="2:2">
      <c r="B656" s="51"/>
    </row>
    <row r="657" ht="12" customHeight="1" spans="2:2">
      <c r="B657" s="51"/>
    </row>
    <row r="658" ht="12" customHeight="1" spans="2:2">
      <c r="B658" s="51"/>
    </row>
    <row r="659" ht="12" customHeight="1" spans="2:2">
      <c r="B659" s="51"/>
    </row>
    <row r="660" ht="12" customHeight="1" spans="2:2">
      <c r="B660" s="51"/>
    </row>
    <row r="661" ht="12" customHeight="1" spans="2:2">
      <c r="B661" s="51"/>
    </row>
    <row r="662" ht="12" customHeight="1" spans="2:2">
      <c r="B662" s="51"/>
    </row>
    <row r="663" ht="12" customHeight="1" spans="2:2">
      <c r="B663" s="51"/>
    </row>
    <row r="664" ht="12" customHeight="1" spans="2:2">
      <c r="B664" s="51"/>
    </row>
    <row r="665" ht="12" customHeight="1" spans="2:2">
      <c r="B665" s="51"/>
    </row>
    <row r="666" ht="12" customHeight="1" spans="2:2">
      <c r="B666" s="51"/>
    </row>
    <row r="667" ht="12" customHeight="1" spans="2:2">
      <c r="B667" s="51"/>
    </row>
    <row r="668" ht="12" customHeight="1" spans="2:2">
      <c r="B668" s="51"/>
    </row>
    <row r="669" ht="12" customHeight="1" spans="2:2">
      <c r="B669" s="51"/>
    </row>
    <row r="670" ht="12" customHeight="1" spans="2:2">
      <c r="B670" s="51"/>
    </row>
    <row r="671" ht="12" customHeight="1" spans="2:2">
      <c r="B671" s="51"/>
    </row>
    <row r="672" ht="12" customHeight="1" spans="2:2">
      <c r="B672" s="51"/>
    </row>
    <row r="673" ht="12" customHeight="1" spans="2:2">
      <c r="B673" s="51"/>
    </row>
    <row r="674" ht="12" customHeight="1" spans="2:2">
      <c r="B674" s="51"/>
    </row>
    <row r="675" ht="12" customHeight="1" spans="2:2">
      <c r="B675" s="51"/>
    </row>
    <row r="676" ht="12" customHeight="1" spans="2:2">
      <c r="B676" s="51"/>
    </row>
    <row r="677" ht="12" customHeight="1" spans="2:2">
      <c r="B677" s="51"/>
    </row>
    <row r="678" ht="12" customHeight="1" spans="2:2">
      <c r="B678" s="51"/>
    </row>
    <row r="679" ht="12" customHeight="1" spans="2:2">
      <c r="B679" s="51"/>
    </row>
    <row r="680" ht="12" customHeight="1" spans="2:2">
      <c r="B680" s="51"/>
    </row>
  </sheetData>
  <mergeCells count="27">
    <mergeCell ref="D1:F1"/>
    <mergeCell ref="I3:J3"/>
    <mergeCell ref="D4:F4"/>
    <mergeCell ref="I4:J4"/>
    <mergeCell ref="I5:J5"/>
    <mergeCell ref="D7:E7"/>
    <mergeCell ref="D41:E41"/>
    <mergeCell ref="A7:A10"/>
    <mergeCell ref="A41:A44"/>
    <mergeCell ref="B7:B10"/>
    <mergeCell ref="B41:B44"/>
    <mergeCell ref="C7:C10"/>
    <mergeCell ref="C41:C44"/>
    <mergeCell ref="D8:D10"/>
    <mergeCell ref="D42:D44"/>
    <mergeCell ref="E8:E10"/>
    <mergeCell ref="E42:E44"/>
    <mergeCell ref="F7:F10"/>
    <mergeCell ref="F41:F44"/>
    <mergeCell ref="G7:G10"/>
    <mergeCell ref="G41:G44"/>
    <mergeCell ref="H7:H10"/>
    <mergeCell ref="H41:H44"/>
    <mergeCell ref="I7:I10"/>
    <mergeCell ref="I41:I44"/>
    <mergeCell ref="J7:J10"/>
    <mergeCell ref="J41:J44"/>
  </mergeCells>
  <conditionalFormatting sqref="E25">
    <cfRule type="expression" dxfId="0" priority="12">
      <formula>$C25=0</formula>
    </cfRule>
  </conditionalFormatting>
  <conditionalFormatting sqref="E26">
    <cfRule type="expression" dxfId="0" priority="11">
      <formula>$C26=0</formula>
    </cfRule>
  </conditionalFormatting>
  <conditionalFormatting sqref="E27">
    <cfRule type="expression" dxfId="0" priority="10">
      <formula>$C27=0</formula>
    </cfRule>
  </conditionalFormatting>
  <conditionalFormatting sqref="E28">
    <cfRule type="expression" dxfId="0" priority="9">
      <formula>$C28=0</formula>
    </cfRule>
  </conditionalFormatting>
  <conditionalFormatting sqref="E29">
    <cfRule type="expression" dxfId="0" priority="8">
      <formula>$C29=0</formula>
    </cfRule>
  </conditionalFormatting>
  <conditionalFormatting sqref="E30">
    <cfRule type="expression" dxfId="0" priority="7">
      <formula>$C30=0</formula>
    </cfRule>
  </conditionalFormatting>
  <conditionalFormatting sqref="E31">
    <cfRule type="expression" dxfId="0" priority="6">
      <formula>$C31=0</formula>
    </cfRule>
  </conditionalFormatting>
  <conditionalFormatting sqref="E32">
    <cfRule type="expression" dxfId="0" priority="5">
      <formula>$C32=0</formula>
    </cfRule>
  </conditionalFormatting>
  <conditionalFormatting sqref="E33">
    <cfRule type="expression" dxfId="0" priority="4">
      <formula>$C33=0</formula>
    </cfRule>
  </conditionalFormatting>
  <conditionalFormatting sqref="E34">
    <cfRule type="expression" dxfId="0" priority="3">
      <formula>$C34=0</formula>
    </cfRule>
  </conditionalFormatting>
  <conditionalFormatting sqref="E35">
    <cfRule type="expression" dxfId="0" priority="2">
      <formula>$C35=0</formula>
    </cfRule>
  </conditionalFormatting>
  <conditionalFormatting sqref="H36">
    <cfRule type="expression" dxfId="0" priority="1">
      <formula>$C36=0</formula>
    </cfRule>
  </conditionalFormatting>
  <conditionalFormatting sqref="D45:J45">
    <cfRule type="expression" dxfId="0" priority="26">
      <formula>$C45=0</formula>
    </cfRule>
  </conditionalFormatting>
  <conditionalFormatting sqref="D49:J49">
    <cfRule type="expression" dxfId="0" priority="29">
      <formula>$C49=0</formula>
    </cfRule>
  </conditionalFormatting>
  <conditionalFormatting sqref="D50:G50">
    <cfRule type="expression" dxfId="0" priority="25">
      <formula>$C50=0</formula>
    </cfRule>
  </conditionalFormatting>
  <conditionalFormatting sqref="E13:E23">
    <cfRule type="expression" dxfId="0" priority="24">
      <formula>$C13=0</formula>
    </cfRule>
  </conditionalFormatting>
  <conditionalFormatting sqref="D11:J12 D24:J24 D13:D20 F13:J20 D46:J48 D51:J53 D61:J61 H50:J50">
    <cfRule type="expression" dxfId="0" priority="31">
      <formula>$C11=0</formula>
    </cfRule>
  </conditionalFormatting>
  <conditionalFormatting sqref="D21:D23 F21:J23">
    <cfRule type="expression" dxfId="0" priority="28">
      <formula>$C21=0</formula>
    </cfRule>
  </conditionalFormatting>
  <conditionalFormatting sqref="D25 F25:J25">
    <cfRule type="expression" dxfId="0" priority="23">
      <formula>$C25=0</formula>
    </cfRule>
  </conditionalFormatting>
  <conditionalFormatting sqref="D26 F26:J26">
    <cfRule type="expression" dxfId="0" priority="22">
      <formula>$C26=0</formula>
    </cfRule>
  </conditionalFormatting>
  <conditionalFormatting sqref="D27 F27:J27">
    <cfRule type="expression" dxfId="0" priority="21">
      <formula>$C27=0</formula>
    </cfRule>
  </conditionalFormatting>
  <conditionalFormatting sqref="D28 F28:J28">
    <cfRule type="expression" dxfId="0" priority="20">
      <formula>$C28=0</formula>
    </cfRule>
  </conditionalFormatting>
  <conditionalFormatting sqref="D29 F29:J29">
    <cfRule type="expression" dxfId="0" priority="19">
      <formula>$C29=0</formula>
    </cfRule>
  </conditionalFormatting>
  <conditionalFormatting sqref="D30 F30:J30">
    <cfRule type="expression" dxfId="0" priority="18">
      <formula>$C30=0</formula>
    </cfRule>
  </conditionalFormatting>
  <conditionalFormatting sqref="D31 F31:J31">
    <cfRule type="expression" dxfId="0" priority="17">
      <formula>$C31=0</formula>
    </cfRule>
  </conditionalFormatting>
  <conditionalFormatting sqref="D32 F32:J32">
    <cfRule type="expression" dxfId="0" priority="16">
      <formula>$C32=0</formula>
    </cfRule>
  </conditionalFormatting>
  <conditionalFormatting sqref="D33 F33:J33">
    <cfRule type="expression" dxfId="0" priority="15">
      <formula>$C33=0</formula>
    </cfRule>
  </conditionalFormatting>
  <conditionalFormatting sqref="D34 F34:J34">
    <cfRule type="expression" dxfId="0" priority="14">
      <formula>$C34=0</formula>
    </cfRule>
  </conditionalFormatting>
  <conditionalFormatting sqref="D35 F35:J35">
    <cfRule type="expression" dxfId="0" priority="13">
      <formula>$C35=0</formula>
    </cfRule>
  </conditionalFormatting>
  <conditionalFormatting sqref="D54:J60">
    <cfRule type="expression" dxfId="0" priority="27">
      <formula>$C54=0</formula>
    </cfRule>
  </conditionalFormatting>
  <printOptions horizontalCentered="1"/>
  <pageMargins left="0" right="0" top="0.120138888888889" bottom="0.129861111111111" header="0.511805555555555" footer="0.511805555555555"/>
  <pageSetup paperSize="1" scale="80" firstPageNumber="0" fitToHeight="0" orientation="landscape" useFirstPageNumber="1"/>
  <headerFooter/>
  <rowBreaks count="1" manualBreakCount="1">
    <brk id="36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G702</vt:lpstr>
      <vt:lpstr>G703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BigBear</dc:creator>
  <cp:lastModifiedBy>google1563229260</cp:lastModifiedBy>
  <cp:revision>1</cp:revision>
  <dcterms:created xsi:type="dcterms:W3CDTF">2018-07-09T14:09:00Z</dcterms:created>
  <cp:lastPrinted>2022-02-11T18:58:00Z</cp:lastPrinted>
  <dcterms:modified xsi:type="dcterms:W3CDTF">2026-06-25T18:41:24Z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LinkedDataId">
    <vt:lpwstr>{C3797F1D-D2FC-4C4D-B49B-A4363B4CB8ED}</vt:lpwstr>
  </property>
  <property fmtid="{D5CDD505-2E9C-101B-9397-08002B2CF9AE}" pid="4" name="PlanSwiftJobGuid">
    <vt:lpwstr/>
  </property>
  <property fmtid="{D5CDD505-2E9C-101B-9397-08002B2CF9AE}" pid="5" name="PlanSwiftJobName">
    <vt:lpwstr/>
  </property>
  <property fmtid="{D5CDD505-2E9C-101B-9397-08002B2CF9AE}" pid="6" name="ICV">
    <vt:lpwstr>DF34ECBD64CF46AA914E6BA77C71B7C4_13</vt:lpwstr>
  </property>
  <property fmtid="{D5CDD505-2E9C-101B-9397-08002B2CF9AE}" pid="7" name="CalculationRule">
    <vt:i4>0</vt:i4>
  </property>
</Properties>
</file>